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_Fertilidade/PROJETOS/01.ESTOQUE_CARBONO/"/>
    </mc:Choice>
  </mc:AlternateContent>
  <xr:revisionPtr revIDLastSave="1" documentId="13_ncr:1_{FA0828D5-92BB-42EE-B246-B3D47C603007}" xr6:coauthVersionLast="47" xr6:coauthVersionMax="47" xr10:uidLastSave="{8C6741B3-BB13-4E63-86FD-A0C92A1F980B}"/>
  <bookViews>
    <workbookView xWindow="-120" yWindow="-120" windowWidth="29040" windowHeight="15840" xr2:uid="{00000000-000D-0000-FFFF-FFFF00000000}"/>
  </bookViews>
  <sheets>
    <sheet name="OS_201" sheetId="1" r:id="rId1"/>
  </sheets>
  <definedNames>
    <definedName name="_xlnm._FilterDatabase" localSheetId="0" hidden="1">OS_201!$A$1:$AL$10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3" i="1"/>
  <c r="R14" i="1"/>
  <c r="R15" i="1"/>
  <c r="R16" i="1"/>
  <c r="R17" i="1"/>
  <c r="R18" i="1"/>
  <c r="R19" i="1"/>
  <c r="R11" i="1"/>
</calcChain>
</file>

<file path=xl/sharedStrings.xml><?xml version="1.0" encoding="utf-8"?>
<sst xmlns="http://schemas.openxmlformats.org/spreadsheetml/2006/main" count="155" uniqueCount="72">
  <si>
    <t>arquivo_origem</t>
  </si>
  <si>
    <t>index</t>
  </si>
  <si>
    <t>Análise_Químico</t>
  </si>
  <si>
    <t>Ordem_de_Serviço</t>
  </si>
  <si>
    <t>Tipo_Coleta</t>
  </si>
  <si>
    <t>Estado_Coleta</t>
  </si>
  <si>
    <t>Réplica</t>
  </si>
  <si>
    <t>Talhão</t>
  </si>
  <si>
    <t>Zona_de_Manejo</t>
  </si>
  <si>
    <t>Ponto</t>
  </si>
  <si>
    <t>Profundidade</t>
  </si>
  <si>
    <t>Amostragem</t>
  </si>
  <si>
    <t>QR-Code</t>
  </si>
  <si>
    <t>SID</t>
  </si>
  <si>
    <t>Massa_(g)</t>
  </si>
  <si>
    <t>Massa_descontada_(g)</t>
  </si>
  <si>
    <t>Volume_coletado_(cm3)</t>
  </si>
  <si>
    <t>Densidade_(g/cm3)</t>
  </si>
  <si>
    <t>pH_(u.a.)</t>
  </si>
  <si>
    <t>H+Al_(cmolc/dm3)</t>
  </si>
  <si>
    <t>AFIL_(u.a.)</t>
  </si>
  <si>
    <t>C_Quantitativo_(g/kg)</t>
  </si>
  <si>
    <t>C_Qualitativo_(u.a.)</t>
  </si>
  <si>
    <t>MO_(g/dm3)</t>
  </si>
  <si>
    <t>Areia_(g/kg)</t>
  </si>
  <si>
    <t>Argila_(g/kg)</t>
  </si>
  <si>
    <t>Silte_(g/kg)</t>
  </si>
  <si>
    <t>Ca_(cmolc/dm3)</t>
  </si>
  <si>
    <t>Mg_(cmolc/dm3)</t>
  </si>
  <si>
    <t>K_(cmolc/dm3)</t>
  </si>
  <si>
    <t>SomaBases_(cmolc/dm3)</t>
  </si>
  <si>
    <t>CTCe_(cmolc/dm3)</t>
  </si>
  <si>
    <t>CTCp_(cmolc/dm3)</t>
  </si>
  <si>
    <t>V%_(cmolc/dm3)</t>
  </si>
  <si>
    <t>M%_(cmolc/dm3)</t>
  </si>
  <si>
    <t>Al_(cmolc/dm3)</t>
  </si>
  <si>
    <t>Analista</t>
  </si>
  <si>
    <t>Hora</t>
  </si>
  <si>
    <t>00-20</t>
  </si>
  <si>
    <t>Carbono</t>
  </si>
  <si>
    <t>20-40</t>
  </si>
  <si>
    <t>40-60</t>
  </si>
  <si>
    <t>Densidade</t>
  </si>
  <si>
    <t>159,5</t>
  </si>
  <si>
    <t>OS_201_01_B6_MAT003_AGMeasure_2025-12-05_17h.xlsx</t>
  </si>
  <si>
    <t>OS_201_01_B6_MATA_003</t>
  </si>
  <si>
    <t>MATA</t>
  </si>
  <si>
    <t>ASP25005302010167B61S250004</t>
  </si>
  <si>
    <t>ASP25005302010167B61S250005</t>
  </si>
  <si>
    <t>ASP25005302010167B61S250006</t>
  </si>
  <si>
    <t>ASP25005302010167B61S250010</t>
  </si>
  <si>
    <t>ASP25005302010167B61S250011</t>
  </si>
  <si>
    <t>ASP25005302010167B61S250012</t>
  </si>
  <si>
    <t>ASP25005302010167B61S250016</t>
  </si>
  <si>
    <t>ASP25005302010167B61S250017</t>
  </si>
  <si>
    <t>ASP25005302010167B61S250018</t>
  </si>
  <si>
    <t>ASP25005302010167B61S250001</t>
  </si>
  <si>
    <t>142,0</t>
  </si>
  <si>
    <t>ASP25005302010167B61S250002</t>
  </si>
  <si>
    <t>ASP25005302010167B61S250003</t>
  </si>
  <si>
    <t>ASP25005302010167B61S250007</t>
  </si>
  <si>
    <t>103,0</t>
  </si>
  <si>
    <t>ASP25005302010167B61S250008</t>
  </si>
  <si>
    <t>117,0</t>
  </si>
  <si>
    <t>ASP25005302010167B61S250009</t>
  </si>
  <si>
    <t>122,0</t>
  </si>
  <si>
    <t>ASP25005302010167B61S250013</t>
  </si>
  <si>
    <t>83,5</t>
  </si>
  <si>
    <t>ASP25005302010167B61S250014</t>
  </si>
  <si>
    <t>114,5</t>
  </si>
  <si>
    <t>ASP25005302010167B61S250015</t>
  </si>
  <si>
    <t>75,0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</si>
</sst>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"/>
  <sheetViews>
    <sheetView tabSelected="1" workbookViewId="0">
      <selection activeCell="K35" sqref="K35"/>
    </sheetView>
  </sheetViews>
  <sheetFormatPr defaultRowHeight="15" x14ac:dyDescent="0.25"/>
  <cols>
    <col min="1" max="1" width="52.85546875" bestFit="1" customWidth="1"/>
    <col min="2" max="2" width="6" bestFit="1" customWidth="1"/>
    <col min="3" max="3" width="16.140625" bestFit="1" customWidth="1"/>
    <col min="4" max="4" width="24.28515625" bestFit="1" customWidth="1"/>
    <col min="5" max="5" width="11.5703125" bestFit="1" customWidth="1"/>
    <col min="6" max="6" width="13.7109375" bestFit="1" customWidth="1"/>
    <col min="7" max="7" width="7.42578125" bestFit="1" customWidth="1"/>
    <col min="8" max="8" width="6.85546875" bestFit="1" customWidth="1"/>
    <col min="9" max="9" width="16.5703125" bestFit="1" customWidth="1"/>
    <col min="10" max="10" width="6.28515625" bestFit="1" customWidth="1"/>
    <col min="11" max="11" width="13.28515625" bestFit="1" customWidth="1"/>
    <col min="12" max="12" width="12.28515625" bestFit="1" customWidth="1"/>
    <col min="13" max="13" width="29.140625" bestFit="1" customWidth="1"/>
    <col min="14" max="14" width="3.85546875" bestFit="1" customWidth="1"/>
    <col min="15" max="15" width="10" bestFit="1" customWidth="1"/>
    <col min="16" max="16" width="21.5703125" bestFit="1" customWidth="1"/>
    <col min="17" max="17" width="23.140625" bestFit="1" customWidth="1"/>
    <col min="18" max="18" width="18.5703125" bestFit="1" customWidth="1"/>
    <col min="20" max="20" width="17.7109375" bestFit="1" customWidth="1"/>
    <col min="21" max="21" width="10.42578125" bestFit="1" customWidth="1"/>
    <col min="22" max="22" width="20.85546875" bestFit="1" customWidth="1"/>
    <col min="23" max="23" width="19" bestFit="1" customWidth="1"/>
    <col min="24" max="24" width="12.42578125" bestFit="1" customWidth="1"/>
    <col min="25" max="25" width="12" bestFit="1" customWidth="1"/>
    <col min="26" max="26" width="12.42578125" bestFit="1" customWidth="1"/>
    <col min="27" max="27" width="11.28515625" bestFit="1" customWidth="1"/>
    <col min="28" max="28" width="15.5703125" bestFit="1" customWidth="1"/>
    <col min="29" max="29" width="16.28515625" bestFit="1" customWidth="1"/>
    <col min="30" max="30" width="14.5703125" bestFit="1" customWidth="1"/>
    <col min="31" max="31" width="23.5703125" bestFit="1" customWidth="1"/>
    <col min="32" max="33" width="18" bestFit="1" customWidth="1"/>
    <col min="34" max="34" width="16.28515625" bestFit="1" customWidth="1"/>
    <col min="35" max="35" width="16.85546875" bestFit="1" customWidth="1"/>
    <col min="36" max="36" width="15.28515625" bestFit="1" customWidth="1"/>
    <col min="37" max="37" width="8.140625" bestFit="1" customWidth="1"/>
    <col min="38" max="38" width="5.140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44</v>
      </c>
      <c r="B2">
        <v>0</v>
      </c>
      <c r="C2">
        <v>1</v>
      </c>
      <c r="D2" t="s">
        <v>45</v>
      </c>
      <c r="E2">
        <v>2</v>
      </c>
      <c r="F2">
        <v>2</v>
      </c>
      <c r="G2">
        <v>0</v>
      </c>
      <c r="H2" t="s">
        <v>46</v>
      </c>
      <c r="I2">
        <v>1</v>
      </c>
      <c r="J2">
        <v>1</v>
      </c>
      <c r="K2" t="s">
        <v>38</v>
      </c>
      <c r="L2" t="s">
        <v>39</v>
      </c>
      <c r="M2" t="s">
        <v>47</v>
      </c>
      <c r="N2">
        <v>1</v>
      </c>
      <c r="V2">
        <v>11.46217918873136</v>
      </c>
    </row>
    <row r="3" spans="1:38" x14ac:dyDescent="0.25">
      <c r="A3" t="s">
        <v>44</v>
      </c>
      <c r="B3">
        <v>1</v>
      </c>
      <c r="C3">
        <v>1</v>
      </c>
      <c r="D3" t="s">
        <v>45</v>
      </c>
      <c r="E3">
        <v>2</v>
      </c>
      <c r="F3">
        <v>2</v>
      </c>
      <c r="G3">
        <v>0</v>
      </c>
      <c r="H3" t="s">
        <v>46</v>
      </c>
      <c r="I3">
        <v>1</v>
      </c>
      <c r="J3">
        <v>1</v>
      </c>
      <c r="K3" t="s">
        <v>40</v>
      </c>
      <c r="L3" t="s">
        <v>39</v>
      </c>
      <c r="M3" t="s">
        <v>48</v>
      </c>
      <c r="N3">
        <v>2</v>
      </c>
      <c r="V3">
        <v>7.2864500035951902</v>
      </c>
    </row>
    <row r="4" spans="1:38" x14ac:dyDescent="0.25">
      <c r="A4" t="s">
        <v>44</v>
      </c>
      <c r="B4">
        <v>2</v>
      </c>
      <c r="C4">
        <v>1</v>
      </c>
      <c r="D4" t="s">
        <v>45</v>
      </c>
      <c r="E4">
        <v>2</v>
      </c>
      <c r="F4">
        <v>2</v>
      </c>
      <c r="G4">
        <v>0</v>
      </c>
      <c r="H4" t="s">
        <v>46</v>
      </c>
      <c r="I4">
        <v>1</v>
      </c>
      <c r="J4">
        <v>1</v>
      </c>
      <c r="K4" t="s">
        <v>41</v>
      </c>
      <c r="L4" t="s">
        <v>39</v>
      </c>
      <c r="M4" t="s">
        <v>49</v>
      </c>
      <c r="N4">
        <v>3</v>
      </c>
      <c r="V4">
        <v>6.8746174590535922</v>
      </c>
    </row>
    <row r="5" spans="1:38" x14ac:dyDescent="0.25">
      <c r="A5" t="s">
        <v>44</v>
      </c>
      <c r="B5">
        <v>3</v>
      </c>
      <c r="C5">
        <v>1</v>
      </c>
      <c r="D5" t="s">
        <v>45</v>
      </c>
      <c r="E5">
        <v>2</v>
      </c>
      <c r="F5">
        <v>2</v>
      </c>
      <c r="G5">
        <v>0</v>
      </c>
      <c r="H5" t="s">
        <v>46</v>
      </c>
      <c r="I5">
        <v>1</v>
      </c>
      <c r="J5">
        <v>2</v>
      </c>
      <c r="K5" t="s">
        <v>38</v>
      </c>
      <c r="L5" t="s">
        <v>39</v>
      </c>
      <c r="M5" t="s">
        <v>50</v>
      </c>
      <c r="N5">
        <v>4</v>
      </c>
      <c r="V5">
        <v>10.742459396751739</v>
      </c>
    </row>
    <row r="6" spans="1:38" x14ac:dyDescent="0.25">
      <c r="A6" t="s">
        <v>44</v>
      </c>
      <c r="B6">
        <v>4</v>
      </c>
      <c r="C6">
        <v>1</v>
      </c>
      <c r="D6" t="s">
        <v>45</v>
      </c>
      <c r="E6">
        <v>2</v>
      </c>
      <c r="F6">
        <v>2</v>
      </c>
      <c r="G6">
        <v>0</v>
      </c>
      <c r="H6" t="s">
        <v>46</v>
      </c>
      <c r="I6">
        <v>1</v>
      </c>
      <c r="J6">
        <v>2</v>
      </c>
      <c r="K6" t="s">
        <v>40</v>
      </c>
      <c r="L6" t="s">
        <v>39</v>
      </c>
      <c r="M6" t="s">
        <v>51</v>
      </c>
      <c r="N6">
        <v>5</v>
      </c>
      <c r="V6">
        <v>9.0487238979118327</v>
      </c>
    </row>
    <row r="7" spans="1:38" x14ac:dyDescent="0.25">
      <c r="A7" t="s">
        <v>44</v>
      </c>
      <c r="B7">
        <v>5</v>
      </c>
      <c r="C7">
        <v>1</v>
      </c>
      <c r="D7" t="s">
        <v>45</v>
      </c>
      <c r="E7">
        <v>2</v>
      </c>
      <c r="F7">
        <v>2</v>
      </c>
      <c r="G7">
        <v>0</v>
      </c>
      <c r="H7" t="s">
        <v>46</v>
      </c>
      <c r="I7">
        <v>1</v>
      </c>
      <c r="J7">
        <v>2</v>
      </c>
      <c r="K7" t="s">
        <v>41</v>
      </c>
      <c r="L7" t="s">
        <v>39</v>
      </c>
      <c r="M7" t="s">
        <v>52</v>
      </c>
      <c r="N7">
        <v>6</v>
      </c>
      <c r="V7">
        <v>7.424593967517402</v>
      </c>
    </row>
    <row r="8" spans="1:38" x14ac:dyDescent="0.25">
      <c r="A8" t="s">
        <v>44</v>
      </c>
      <c r="B8">
        <v>6</v>
      </c>
      <c r="C8">
        <v>1</v>
      </c>
      <c r="D8" t="s">
        <v>45</v>
      </c>
      <c r="E8">
        <v>2</v>
      </c>
      <c r="F8">
        <v>2</v>
      </c>
      <c r="G8">
        <v>0</v>
      </c>
      <c r="H8" t="s">
        <v>46</v>
      </c>
      <c r="I8">
        <v>1</v>
      </c>
      <c r="J8">
        <v>3</v>
      </c>
      <c r="K8" t="s">
        <v>38</v>
      </c>
      <c r="L8" t="s">
        <v>39</v>
      </c>
      <c r="M8" t="s">
        <v>53</v>
      </c>
      <c r="N8">
        <v>7</v>
      </c>
      <c r="V8">
        <v>9.7447795823665899</v>
      </c>
    </row>
    <row r="9" spans="1:38" x14ac:dyDescent="0.25">
      <c r="A9" t="s">
        <v>44</v>
      </c>
      <c r="B9">
        <v>7</v>
      </c>
      <c r="C9">
        <v>1</v>
      </c>
      <c r="D9" t="s">
        <v>45</v>
      </c>
      <c r="E9">
        <v>2</v>
      </c>
      <c r="F9">
        <v>2</v>
      </c>
      <c r="G9">
        <v>0</v>
      </c>
      <c r="H9" t="s">
        <v>46</v>
      </c>
      <c r="I9">
        <v>1</v>
      </c>
      <c r="J9">
        <v>3</v>
      </c>
      <c r="K9" t="s">
        <v>40</v>
      </c>
      <c r="L9" t="s">
        <v>39</v>
      </c>
      <c r="M9" t="s">
        <v>54</v>
      </c>
      <c r="N9">
        <v>8</v>
      </c>
      <c r="V9">
        <v>8.468677494199536</v>
      </c>
    </row>
    <row r="10" spans="1:38" x14ac:dyDescent="0.25">
      <c r="A10" t="s">
        <v>44</v>
      </c>
      <c r="B10">
        <v>8</v>
      </c>
      <c r="C10">
        <v>1</v>
      </c>
      <c r="D10" t="s">
        <v>45</v>
      </c>
      <c r="E10">
        <v>2</v>
      </c>
      <c r="F10">
        <v>2</v>
      </c>
      <c r="G10">
        <v>0</v>
      </c>
      <c r="H10" t="s">
        <v>46</v>
      </c>
      <c r="I10">
        <v>1</v>
      </c>
      <c r="J10">
        <v>3</v>
      </c>
      <c r="K10" t="s">
        <v>41</v>
      </c>
      <c r="L10" t="s">
        <v>39</v>
      </c>
      <c r="M10" t="s">
        <v>55</v>
      </c>
      <c r="N10">
        <v>9</v>
      </c>
      <c r="V10">
        <v>8.0046403712296996</v>
      </c>
    </row>
    <row r="11" spans="1:38" x14ac:dyDescent="0.25">
      <c r="A11" t="s">
        <v>44</v>
      </c>
      <c r="B11">
        <v>9</v>
      </c>
      <c r="C11">
        <v>1</v>
      </c>
      <c r="D11" t="s">
        <v>45</v>
      </c>
      <c r="E11">
        <v>2</v>
      </c>
      <c r="F11">
        <v>2</v>
      </c>
      <c r="G11">
        <v>0</v>
      </c>
      <c r="H11" t="s">
        <v>46</v>
      </c>
      <c r="I11">
        <v>1</v>
      </c>
      <c r="J11">
        <v>1</v>
      </c>
      <c r="K11" t="s">
        <v>38</v>
      </c>
      <c r="L11" t="s">
        <v>42</v>
      </c>
      <c r="M11" t="s">
        <v>56</v>
      </c>
      <c r="N11">
        <v>10</v>
      </c>
      <c r="O11" t="s">
        <v>57</v>
      </c>
      <c r="Q11">
        <v>89.96</v>
      </c>
      <c r="R11">
        <f>O11/Q11</f>
        <v>1.5784793241440642</v>
      </c>
    </row>
    <row r="12" spans="1:38" x14ac:dyDescent="0.25">
      <c r="A12" t="s">
        <v>44</v>
      </c>
      <c r="B12">
        <v>10</v>
      </c>
      <c r="C12">
        <v>1</v>
      </c>
      <c r="D12" t="s">
        <v>45</v>
      </c>
      <c r="E12">
        <v>2</v>
      </c>
      <c r="F12">
        <v>2</v>
      </c>
      <c r="G12">
        <v>0</v>
      </c>
      <c r="H12" t="s">
        <v>46</v>
      </c>
      <c r="I12">
        <v>1</v>
      </c>
      <c r="J12">
        <v>1</v>
      </c>
      <c r="K12" t="s">
        <v>40</v>
      </c>
      <c r="L12" t="s">
        <v>42</v>
      </c>
      <c r="M12" t="s">
        <v>58</v>
      </c>
      <c r="N12">
        <v>11</v>
      </c>
      <c r="O12" t="s">
        <v>57</v>
      </c>
      <c r="Q12">
        <v>89.96</v>
      </c>
      <c r="R12">
        <f t="shared" ref="R12:R19" si="0">O12/Q12</f>
        <v>1.5784793241440642</v>
      </c>
    </row>
    <row r="13" spans="1:38" x14ac:dyDescent="0.25">
      <c r="A13" t="s">
        <v>44</v>
      </c>
      <c r="B13">
        <v>11</v>
      </c>
      <c r="C13">
        <v>1</v>
      </c>
      <c r="D13" t="s">
        <v>45</v>
      </c>
      <c r="E13">
        <v>2</v>
      </c>
      <c r="F13">
        <v>2</v>
      </c>
      <c r="G13">
        <v>0</v>
      </c>
      <c r="H13" t="s">
        <v>46</v>
      </c>
      <c r="I13">
        <v>1</v>
      </c>
      <c r="J13">
        <v>1</v>
      </c>
      <c r="K13" t="s">
        <v>41</v>
      </c>
      <c r="L13" t="s">
        <v>42</v>
      </c>
      <c r="M13" t="s">
        <v>59</v>
      </c>
      <c r="N13">
        <v>12</v>
      </c>
      <c r="O13" t="s">
        <v>43</v>
      </c>
      <c r="Q13">
        <v>89.96</v>
      </c>
      <c r="R13">
        <f t="shared" si="0"/>
        <v>1.7730102267674523</v>
      </c>
    </row>
    <row r="14" spans="1:38" x14ac:dyDescent="0.25">
      <c r="A14" t="s">
        <v>44</v>
      </c>
      <c r="B14">
        <v>12</v>
      </c>
      <c r="C14">
        <v>1</v>
      </c>
      <c r="D14" t="s">
        <v>45</v>
      </c>
      <c r="E14">
        <v>2</v>
      </c>
      <c r="F14">
        <v>2</v>
      </c>
      <c r="G14">
        <v>0</v>
      </c>
      <c r="H14" t="s">
        <v>46</v>
      </c>
      <c r="I14">
        <v>1</v>
      </c>
      <c r="J14">
        <v>2</v>
      </c>
      <c r="K14" t="s">
        <v>38</v>
      </c>
      <c r="L14" t="s">
        <v>42</v>
      </c>
      <c r="M14" t="s">
        <v>60</v>
      </c>
      <c r="N14">
        <v>13</v>
      </c>
      <c r="O14" t="s">
        <v>61</v>
      </c>
      <c r="Q14">
        <v>89.96</v>
      </c>
      <c r="R14">
        <f t="shared" si="0"/>
        <v>1.1449533125833704</v>
      </c>
    </row>
    <row r="15" spans="1:38" x14ac:dyDescent="0.25">
      <c r="A15" t="s">
        <v>44</v>
      </c>
      <c r="B15">
        <v>13</v>
      </c>
      <c r="C15">
        <v>1</v>
      </c>
      <c r="D15" t="s">
        <v>45</v>
      </c>
      <c r="E15">
        <v>2</v>
      </c>
      <c r="F15">
        <v>2</v>
      </c>
      <c r="G15">
        <v>0</v>
      </c>
      <c r="H15" t="s">
        <v>46</v>
      </c>
      <c r="I15">
        <v>1</v>
      </c>
      <c r="J15">
        <v>2</v>
      </c>
      <c r="K15" t="s">
        <v>40</v>
      </c>
      <c r="L15" t="s">
        <v>42</v>
      </c>
      <c r="M15" t="s">
        <v>62</v>
      </c>
      <c r="N15">
        <v>14</v>
      </c>
      <c r="O15" t="s">
        <v>63</v>
      </c>
      <c r="Q15">
        <v>89.96</v>
      </c>
      <c r="R15">
        <f t="shared" si="0"/>
        <v>1.300578034682081</v>
      </c>
    </row>
    <row r="16" spans="1:38" x14ac:dyDescent="0.25">
      <c r="A16" t="s">
        <v>44</v>
      </c>
      <c r="B16">
        <v>14</v>
      </c>
      <c r="C16">
        <v>1</v>
      </c>
      <c r="D16" t="s">
        <v>45</v>
      </c>
      <c r="E16">
        <v>2</v>
      </c>
      <c r="F16">
        <v>2</v>
      </c>
      <c r="G16">
        <v>0</v>
      </c>
      <c r="H16" t="s">
        <v>46</v>
      </c>
      <c r="I16">
        <v>1</v>
      </c>
      <c r="J16">
        <v>2</v>
      </c>
      <c r="K16" t="s">
        <v>41</v>
      </c>
      <c r="L16" t="s">
        <v>42</v>
      </c>
      <c r="M16" t="s">
        <v>64</v>
      </c>
      <c r="N16">
        <v>15</v>
      </c>
      <c r="O16" t="s">
        <v>65</v>
      </c>
      <c r="Q16">
        <v>89.96</v>
      </c>
      <c r="R16">
        <f t="shared" si="0"/>
        <v>1.3561582925744777</v>
      </c>
    </row>
    <row r="17" spans="1:18" x14ac:dyDescent="0.25">
      <c r="A17" t="s">
        <v>44</v>
      </c>
      <c r="B17">
        <v>15</v>
      </c>
      <c r="C17">
        <v>1</v>
      </c>
      <c r="D17" t="s">
        <v>45</v>
      </c>
      <c r="E17">
        <v>2</v>
      </c>
      <c r="F17">
        <v>2</v>
      </c>
      <c r="G17">
        <v>0</v>
      </c>
      <c r="H17" t="s">
        <v>46</v>
      </c>
      <c r="I17">
        <v>1</v>
      </c>
      <c r="J17">
        <v>3</v>
      </c>
      <c r="K17" t="s">
        <v>38</v>
      </c>
      <c r="L17" t="s">
        <v>42</v>
      </c>
      <c r="M17" t="s">
        <v>66</v>
      </c>
      <c r="N17">
        <v>16</v>
      </c>
      <c r="O17" t="s">
        <v>67</v>
      </c>
      <c r="Q17">
        <v>89.96</v>
      </c>
      <c r="R17">
        <f t="shared" si="0"/>
        <v>0.92819030680302361</v>
      </c>
    </row>
    <row r="18" spans="1:18" x14ac:dyDescent="0.25">
      <c r="A18" t="s">
        <v>44</v>
      </c>
      <c r="B18">
        <v>16</v>
      </c>
      <c r="C18">
        <v>1</v>
      </c>
      <c r="D18" t="s">
        <v>45</v>
      </c>
      <c r="E18">
        <v>2</v>
      </c>
      <c r="F18">
        <v>2</v>
      </c>
      <c r="G18">
        <v>0</v>
      </c>
      <c r="H18" t="s">
        <v>46</v>
      </c>
      <c r="I18">
        <v>1</v>
      </c>
      <c r="J18">
        <v>3</v>
      </c>
      <c r="K18" t="s">
        <v>40</v>
      </c>
      <c r="L18" t="s">
        <v>42</v>
      </c>
      <c r="M18" t="s">
        <v>68</v>
      </c>
      <c r="N18">
        <v>17</v>
      </c>
      <c r="O18" t="s">
        <v>69</v>
      </c>
      <c r="Q18">
        <v>89.96</v>
      </c>
      <c r="R18">
        <f t="shared" si="0"/>
        <v>1.2727879057358826</v>
      </c>
    </row>
    <row r="19" spans="1:18" x14ac:dyDescent="0.25">
      <c r="A19" t="s">
        <v>44</v>
      </c>
      <c r="B19">
        <v>17</v>
      </c>
      <c r="C19">
        <v>1</v>
      </c>
      <c r="D19" t="s">
        <v>45</v>
      </c>
      <c r="E19">
        <v>2</v>
      </c>
      <c r="F19">
        <v>2</v>
      </c>
      <c r="G19">
        <v>0</v>
      </c>
      <c r="H19" t="s">
        <v>46</v>
      </c>
      <c r="I19">
        <v>1</v>
      </c>
      <c r="J19">
        <v>3</v>
      </c>
      <c r="K19" t="s">
        <v>41</v>
      </c>
      <c r="L19" t="s">
        <v>42</v>
      </c>
      <c r="M19" t="s">
        <v>70</v>
      </c>
      <c r="N19">
        <v>18</v>
      </c>
      <c r="O19" t="s">
        <v>71</v>
      </c>
      <c r="Q19">
        <v>89.96</v>
      </c>
      <c r="R19">
        <f t="shared" si="0"/>
        <v>0.83370386838594934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OS_201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2025-12-10T11:48:53Z</dcterms:created>
  <dcterms:modified xsi:type="dcterms:W3CDTF">2026-03-06T13:34:12Z</dcterms:modified>
</cp:coreProperties>
</file>
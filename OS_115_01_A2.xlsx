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ESTOQUE_CARBONO/"/>
    </mc:Choice>
  </mc:AlternateContent>
  <xr:revisionPtr revIDLastSave="75" documentId="8_{43FB32A9-2332-4F93-8C55-E9575204E52A}" xr6:coauthVersionLast="47" xr6:coauthVersionMax="47" xr10:uidLastSave="{ED338D39-AA94-4909-B73F-3D9D05DAA392}"/>
  <bookViews>
    <workbookView xWindow="-120" yWindow="-120" windowWidth="29040" windowHeight="15840" xr2:uid="{5079E8A9-18FB-4FA9-B607-125FAF95206B}"/>
  </bookViews>
  <sheets>
    <sheet name="Calculator" sheetId="1" r:id="rId1"/>
    <sheet name="Strata DATA" sheetId="2" r:id="rId2"/>
    <sheet name="Reference Area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F3" i="1"/>
  <c r="B19" i="1"/>
  <c r="L19" i="1" s="1"/>
  <c r="J19" i="1"/>
  <c r="H19" i="1"/>
  <c r="F19" i="1"/>
  <c r="D19" i="1"/>
  <c r="H3" i="1"/>
  <c r="J3" i="1" s="1"/>
  <c r="G3" i="1" l="1"/>
  <c r="H11" i="1"/>
  <c r="H12" i="1" l="1"/>
  <c r="J12" i="1" s="1"/>
  <c r="H13" i="1"/>
  <c r="J13" i="1" s="1"/>
  <c r="H14" i="1"/>
  <c r="J14" i="1" s="1"/>
  <c r="I11" i="1"/>
  <c r="H4" i="1"/>
  <c r="J4" i="1" s="1"/>
  <c r="H5" i="1"/>
  <c r="J5" i="1" s="1"/>
  <c r="H6" i="1"/>
  <c r="J6" i="1" s="1"/>
  <c r="I3" i="1"/>
  <c r="K3" i="1" s="1"/>
  <c r="F12" i="1"/>
  <c r="F13" i="1"/>
  <c r="F14" i="1"/>
  <c r="G14" i="1" s="1"/>
  <c r="F15" i="1"/>
  <c r="F11" i="1"/>
  <c r="F4" i="1"/>
  <c r="F5" i="1"/>
  <c r="F6" i="1"/>
  <c r="F7" i="1"/>
  <c r="G11" i="1" l="1"/>
  <c r="L11" i="1"/>
  <c r="L14" i="1"/>
  <c r="I4" i="1"/>
  <c r="K4" i="1" s="1"/>
  <c r="L5" i="1"/>
  <c r="G7" i="1"/>
  <c r="K19" i="1" s="1"/>
  <c r="G12" i="1"/>
  <c r="L12" i="1"/>
  <c r="G6" i="1"/>
  <c r="L6" i="1"/>
  <c r="G15" i="1"/>
  <c r="I12" i="1"/>
  <c r="K12" i="1" s="1"/>
  <c r="G5" i="1"/>
  <c r="G4" i="1"/>
  <c r="L4" i="1"/>
  <c r="G13" i="1"/>
  <c r="L13" i="1"/>
  <c r="I13" i="1"/>
  <c r="K13" i="1" s="1"/>
  <c r="I14" i="1"/>
  <c r="K14" i="1" s="1"/>
  <c r="J11" i="1"/>
  <c r="I6" i="1"/>
  <c r="K6" i="1" s="1"/>
  <c r="H7" i="1"/>
  <c r="L7" i="1" s="1"/>
  <c r="I5" i="1"/>
  <c r="K5" i="1" s="1"/>
  <c r="H15" i="1"/>
  <c r="L15" i="1" s="1"/>
  <c r="M14" i="1" l="1"/>
  <c r="M4" i="1"/>
  <c r="M5" i="1"/>
  <c r="M12" i="1"/>
  <c r="M13" i="1"/>
  <c r="M3" i="1"/>
  <c r="M6" i="1"/>
  <c r="K11" i="1"/>
  <c r="M11" i="1"/>
  <c r="I7" i="1"/>
  <c r="M7" i="1" s="1"/>
  <c r="J7" i="1"/>
  <c r="J15" i="1"/>
  <c r="I15" i="1"/>
  <c r="M15" i="1" s="1"/>
  <c r="C19" i="1" l="1"/>
  <c r="K7" i="1"/>
  <c r="E19" i="1" s="1"/>
  <c r="K15" i="1"/>
  <c r="I19" i="1" s="1"/>
  <c r="B22" i="1" l="1"/>
  <c r="B24" i="1" s="1"/>
  <c r="G19" i="1"/>
  <c r="C22" i="1" s="1"/>
  <c r="C24" i="1" l="1"/>
  <c r="M19" i="1" s="1"/>
</calcChain>
</file>

<file path=xl/sharedStrings.xml><?xml version="1.0" encoding="utf-8"?>
<sst xmlns="http://schemas.openxmlformats.org/spreadsheetml/2006/main" count="153" uniqueCount="77">
  <si>
    <t>STRATA</t>
  </si>
  <si>
    <t>Parameters from other reports</t>
  </si>
  <si>
    <t>GIS ID (Ponto)</t>
  </si>
  <si>
    <t>Layer depth (i)</t>
  </si>
  <si>
    <t>l 
(m)</t>
  </si>
  <si>
    <t>U
(m)</t>
  </si>
  <si>
    <t>SOC content
(g.dm-3)</t>
  </si>
  <si>
    <t>U
(g.dm-3)</t>
  </si>
  <si>
    <t>Bulk density - Ds -
(Mg.m-3)</t>
  </si>
  <si>
    <t>U
(Mg.m-3)</t>
  </si>
  <si>
    <t>Dry mass in each layer - Ms -
(Mg.ha-1)</t>
  </si>
  <si>
    <t>U
(Mg.ha-1)</t>
  </si>
  <si>
    <t>Carbon Stock on layer - Csi - 
(Mg.ha-1)</t>
  </si>
  <si>
    <t>Layer depth</t>
  </si>
  <si>
    <t xml:space="preserve">U% SOC Content </t>
  </si>
  <si>
    <t xml:space="preserve">U% Bulk Density </t>
  </si>
  <si>
    <t>240</t>
  </si>
  <si>
    <t>00-10</t>
  </si>
  <si>
    <t>10-20</t>
  </si>
  <si>
    <t>20-30</t>
  </si>
  <si>
    <t>30-40</t>
  </si>
  <si>
    <t>40-60</t>
  </si>
  <si>
    <t>Reference Area</t>
  </si>
  <si>
    <t>1</t>
  </si>
  <si>
    <t>which:</t>
  </si>
  <si>
    <t>Ms: total dry soil mass in each layer, per unit of area (Mg.ha-1)</t>
  </si>
  <si>
    <t>Ds: dry soil density (Mg.m-3)</t>
  </si>
  <si>
    <t>l: height considered for the sampled soil layer (m)</t>
  </si>
  <si>
    <t>Cti Mg/ha</t>
  </si>
  <si>
    <t>U Cti</t>
  </si>
  <si>
    <t>Mtn</t>
  </si>
  <si>
    <t>U Mtn</t>
  </si>
  <si>
    <t>Mti</t>
  </si>
  <si>
    <t>U Mti</t>
  </si>
  <si>
    <t>Msi</t>
  </si>
  <si>
    <t>U Msi</t>
  </si>
  <si>
    <t>Ctn</t>
  </si>
  <si>
    <t>U Ctn</t>
  </si>
  <si>
    <t>Cs</t>
  </si>
  <si>
    <t>U Cs</t>
  </si>
  <si>
    <t>A: Mtn, Mti, Msi</t>
  </si>
  <si>
    <t>U A</t>
  </si>
  <si>
    <t>CSi: soil carbon stock in specified depth - i (Mg.ha-1)</t>
  </si>
  <si>
    <t>Ci: soil carbon content in the sampled depth - i (g.kg-1)</t>
  </si>
  <si>
    <t>B: A, Ctn</t>
  </si>
  <si>
    <t>U B</t>
  </si>
  <si>
    <t>Dsi: soil apparent density in the sampled depth - i (Mg.m-3)</t>
  </si>
  <si>
    <t>li: height considered for the sampled soil layer - i (m)</t>
  </si>
  <si>
    <r>
      <t>Cs : total carbon stock, corrected by the soil total mass in a reference area (Mg.ha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</si>
  <si>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Cti: carbon stock of a sampled depth (Mg.ha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</si>
  <si>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Mtn: total soil mass of the last sampled depth (Mg.ha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</si>
  <si>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Mti: total soil mass (Mg.ha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</si>
  <si>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Msi: total soil mass in the reference area (Mg.ha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</si>
  <si>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Ctn: carbon content in the last sampled depth (Mg C. Mg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of soil)</t>
    </r>
  </si>
  <si>
    <t>QR CODE</t>
  </si>
  <si>
    <t>GIS ID</t>
  </si>
  <si>
    <t>SOC content
(g.kg-1)</t>
  </si>
  <si>
    <t>Bulk density
(Mg.m-3)</t>
  </si>
  <si>
    <t>ASP23002501060165A61S230024</t>
  </si>
  <si>
    <t>ASP23002501060165A61S230020</t>
  </si>
  <si>
    <t>ASP23002501060165A61S230022</t>
  </si>
  <si>
    <t>ASP23002501060165A61S230018</t>
  </si>
  <si>
    <t>ASP23002501060165A61S230019</t>
  </si>
  <si>
    <t>ASP23002501060165A61S230027</t>
  </si>
  <si>
    <t>ASP23002501060165A61S230025</t>
  </si>
  <si>
    <t>ASP23002501060165A61S230026</t>
  </si>
  <si>
    <t>ASP23002501060165A61S230023</t>
  </si>
  <si>
    <t>ASP23002501060165A61S230037</t>
  </si>
  <si>
    <t>MATA</t>
  </si>
  <si>
    <t>ASP23002501060165A61S230036</t>
  </si>
  <si>
    <t>ASP23002501060165A61S230035</t>
  </si>
  <si>
    <t>ASP23002501060165A61S230034</t>
  </si>
  <si>
    <t>ASP23002501060165A61S230032</t>
  </si>
  <si>
    <t>ASP23002501060165A61S230033</t>
  </si>
  <si>
    <t>ASP23002501060165A61S230040</t>
  </si>
  <si>
    <t>ASP23002501060165A61S230039</t>
  </si>
  <si>
    <t>ASP23002501060165A61S230038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</si>
</sst>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8E86AE"/>
      </patternFill>
    </fill>
    <fill>
      <patternFill patternType="solid">
        <fgColor rgb="FF81D41A"/>
        <bgColor rgb="FF999999"/>
      </patternFill>
    </fill>
    <fill>
      <patternFill patternType="solid">
        <fgColor rgb="FFFFA6A6"/>
        <bgColor rgb="FFFF8080"/>
      </patternFill>
    </fill>
    <fill>
      <patternFill patternType="solid">
        <fgColor rgb="FF8E86AE"/>
        <bgColor rgb="FF999999"/>
      </patternFill>
    </fill>
    <fill>
      <patternFill patternType="solid">
        <fgColor rgb="FFFFDE59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0" fillId="4" borderId="23" xfId="0" applyFill="1" applyBorder="1"/>
    <xf numFmtId="0" fontId="0" fillId="4" borderId="2" xfId="0" applyFill="1" applyBorder="1"/>
    <xf numFmtId="0" fontId="0" fillId="4" borderId="0" xfId="0" applyFill="1"/>
    <xf numFmtId="0" fontId="0" fillId="4" borderId="4" xfId="0" applyFill="1" applyBorder="1"/>
    <xf numFmtId="0" fontId="0" fillId="4" borderId="19" xfId="0" applyFill="1" applyBorder="1"/>
    <xf numFmtId="0" fontId="0" fillId="4" borderId="6" xfId="0" applyFill="1" applyBorder="1"/>
    <xf numFmtId="0" fontId="3" fillId="0" borderId="0" xfId="0" applyFont="1"/>
    <xf numFmtId="49" fontId="2" fillId="0" borderId="16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2" fontId="3" fillId="5" borderId="14" xfId="0" applyNumberFormat="1" applyFont="1" applyFill="1" applyBorder="1" applyAlignment="1">
      <alignment horizontal="center" vertical="center" wrapText="1"/>
    </xf>
    <xf numFmtId="2" fontId="3" fillId="5" borderId="15" xfId="0" applyNumberFormat="1" applyFont="1" applyFill="1" applyBorder="1" applyAlignment="1">
      <alignment horizontal="center" vertical="center" wrapText="1"/>
    </xf>
    <xf numFmtId="2" fontId="3" fillId="3" borderId="14" xfId="0" applyNumberFormat="1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center" vertical="center" wrapText="1"/>
    </xf>
    <xf numFmtId="11" fontId="3" fillId="4" borderId="8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5" borderId="10" xfId="0" applyNumberFormat="1" applyFont="1" applyFill="1" applyBorder="1" applyAlignment="1">
      <alignment horizontal="center" vertical="center" wrapText="1"/>
    </xf>
    <xf numFmtId="2" fontId="3" fillId="5" borderId="11" xfId="0" applyNumberFormat="1" applyFont="1" applyFill="1" applyBorder="1" applyAlignment="1">
      <alignment horizontal="center" vertical="center" wrapText="1"/>
    </xf>
    <xf numFmtId="2" fontId="3" fillId="2" borderId="15" xfId="0" applyNumberFormat="1" applyFont="1" applyFill="1" applyBorder="1" applyAlignment="1">
      <alignment horizontal="center" vertical="center" wrapText="1"/>
    </xf>
    <xf numFmtId="11" fontId="3" fillId="4" borderId="14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" fontId="3" fillId="5" borderId="12" xfId="0" applyNumberFormat="1" applyFont="1" applyFill="1" applyBorder="1" applyAlignment="1">
      <alignment horizontal="center" vertical="center" wrapText="1"/>
    </xf>
    <xf numFmtId="2" fontId="3" fillId="5" borderId="13" xfId="0" applyNumberFormat="1" applyFont="1" applyFill="1" applyBorder="1" applyAlignment="1">
      <alignment horizontal="center" vertical="center" wrapText="1"/>
    </xf>
    <xf numFmtId="2" fontId="3" fillId="2" borderId="18" xfId="0" applyNumberFormat="1" applyFont="1" applyFill="1" applyBorder="1" applyAlignment="1">
      <alignment horizontal="center" vertical="center" wrapText="1"/>
    </xf>
    <xf numFmtId="2" fontId="3" fillId="3" borderId="12" xfId="0" applyNumberFormat="1" applyFont="1" applyFill="1" applyBorder="1" applyAlignment="1">
      <alignment horizontal="center" vertical="center" wrapText="1"/>
    </xf>
    <xf numFmtId="2" fontId="3" fillId="3" borderId="18" xfId="0" applyNumberFormat="1" applyFont="1" applyFill="1" applyBorder="1" applyAlignment="1">
      <alignment horizontal="center" vertical="center" wrapText="1"/>
    </xf>
    <xf numFmtId="11" fontId="3" fillId="4" borderId="2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/>
    <xf numFmtId="0" fontId="3" fillId="4" borderId="23" xfId="0" applyFont="1" applyFill="1" applyBorder="1"/>
    <xf numFmtId="49" fontId="3" fillId="0" borderId="15" xfId="0" applyNumberFormat="1" applyFont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2" fontId="3" fillId="5" borderId="15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2" fontId="3" fillId="3" borderId="14" xfId="0" applyNumberFormat="1" applyFont="1" applyFill="1" applyBorder="1" applyAlignment="1">
      <alignment horizontal="center" vertical="center"/>
    </xf>
    <xf numFmtId="2" fontId="3" fillId="3" borderId="15" xfId="0" applyNumberFormat="1" applyFont="1" applyFill="1" applyBorder="1" applyAlignment="1">
      <alignment horizontal="center" vertical="center"/>
    </xf>
    <xf numFmtId="0" fontId="3" fillId="4" borderId="3" xfId="0" applyFont="1" applyFill="1" applyBorder="1"/>
    <xf numFmtId="0" fontId="3" fillId="4" borderId="0" xfId="0" applyFont="1" applyFill="1"/>
    <xf numFmtId="49" fontId="3" fillId="0" borderId="11" xfId="0" applyNumberFormat="1" applyFont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  <xf numFmtId="2" fontId="3" fillId="5" borderId="13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center" vertical="center"/>
    </xf>
    <xf numFmtId="2" fontId="3" fillId="3" borderId="12" xfId="0" applyNumberFormat="1" applyFont="1" applyFill="1" applyBorder="1" applyAlignment="1">
      <alignment horizontal="center" vertical="center"/>
    </xf>
    <xf numFmtId="2" fontId="3" fillId="3" borderId="18" xfId="0" applyNumberFormat="1" applyFont="1" applyFill="1" applyBorder="1" applyAlignment="1">
      <alignment horizontal="center" vertical="center"/>
    </xf>
    <xf numFmtId="0" fontId="3" fillId="4" borderId="5" xfId="0" applyFont="1" applyFill="1" applyBorder="1"/>
    <xf numFmtId="0" fontId="3" fillId="4" borderId="19" xfId="0" applyFont="1" applyFill="1" applyBorder="1"/>
    <xf numFmtId="0" fontId="4" fillId="0" borderId="0" xfId="0" applyFont="1"/>
    <xf numFmtId="0" fontId="0" fillId="6" borderId="1" xfId="0" applyFill="1" applyBorder="1"/>
    <xf numFmtId="0" fontId="0" fillId="6" borderId="23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0" xfId="0" applyFill="1"/>
    <xf numFmtId="0" fontId="0" fillId="6" borderId="4" xfId="0" applyFill="1" applyBorder="1"/>
    <xf numFmtId="0" fontId="0" fillId="6" borderId="5" xfId="0" applyFill="1" applyBorder="1"/>
    <xf numFmtId="0" fontId="0" fillId="6" borderId="19" xfId="0" applyFill="1" applyBorder="1"/>
    <xf numFmtId="0" fontId="0" fillId="6" borderId="6" xfId="0" applyFill="1" applyBorder="1"/>
    <xf numFmtId="1" fontId="3" fillId="4" borderId="28" xfId="0" applyNumberFormat="1" applyFont="1" applyFill="1" applyBorder="1" applyAlignment="1">
      <alignment horizontal="center" vertical="center"/>
    </xf>
    <xf numFmtId="1" fontId="3" fillId="4" borderId="29" xfId="0" applyNumberFormat="1" applyFont="1" applyFill="1" applyBorder="1" applyAlignment="1">
      <alignment horizontal="center" vertical="center"/>
    </xf>
    <xf numFmtId="1" fontId="3" fillId="4" borderId="30" xfId="0" applyNumberFormat="1" applyFont="1" applyFill="1" applyBorder="1" applyAlignment="1">
      <alignment horizontal="center" vertical="center"/>
    </xf>
    <xf numFmtId="49" fontId="2" fillId="5" borderId="27" xfId="0" applyNumberFormat="1" applyFont="1" applyFill="1" applyBorder="1" applyAlignment="1">
      <alignment horizontal="center" vertical="center" wrapText="1"/>
    </xf>
    <xf numFmtId="49" fontId="2" fillId="5" borderId="18" xfId="0" applyNumberFormat="1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49" fontId="2" fillId="3" borderId="27" xfId="0" applyNumberFormat="1" applyFont="1" applyFill="1" applyBorder="1" applyAlignment="1">
      <alignment horizontal="center" vertical="center" wrapText="1"/>
    </xf>
    <xf numFmtId="49" fontId="2" fillId="3" borderId="18" xfId="0" applyNumberFormat="1" applyFont="1" applyFill="1" applyBorder="1" applyAlignment="1">
      <alignment horizontal="center" vertical="center" wrapText="1"/>
    </xf>
    <xf numFmtId="49" fontId="2" fillId="4" borderId="27" xfId="0" applyNumberFormat="1" applyFont="1" applyFill="1" applyBorder="1" applyAlignment="1">
      <alignment horizontal="center" vertical="center" wrapText="1"/>
    </xf>
    <xf numFmtId="49" fontId="2" fillId="4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2" fillId="6" borderId="27" xfId="0" applyNumberFormat="1" applyFont="1" applyFill="1" applyBorder="1" applyAlignment="1">
      <alignment horizontal="center" vertical="center" wrapText="1"/>
    </xf>
    <xf numFmtId="2" fontId="2" fillId="6" borderId="18" xfId="0" applyNumberFormat="1" applyFont="1" applyFill="1" applyBorder="1" applyAlignment="1">
      <alignment horizontal="center" vertical="center" wrapText="1"/>
    </xf>
    <xf numFmtId="165" fontId="3" fillId="6" borderId="14" xfId="0" applyNumberFormat="1" applyFont="1" applyFill="1" applyBorder="1" applyAlignment="1">
      <alignment horizontal="center" vertical="center"/>
    </xf>
    <xf numFmtId="165" fontId="3" fillId="6" borderId="15" xfId="0" applyNumberFormat="1" applyFont="1" applyFill="1" applyBorder="1" applyAlignment="1">
      <alignment horizontal="center" vertical="center"/>
    </xf>
    <xf numFmtId="165" fontId="3" fillId="6" borderId="10" xfId="0" applyNumberFormat="1" applyFont="1" applyFill="1" applyBorder="1" applyAlignment="1">
      <alignment horizontal="center" vertical="center"/>
    </xf>
    <xf numFmtId="165" fontId="3" fillId="6" borderId="11" xfId="0" applyNumberFormat="1" applyFont="1" applyFill="1" applyBorder="1" applyAlignment="1">
      <alignment horizontal="center" vertical="center"/>
    </xf>
    <xf numFmtId="2" fontId="3" fillId="6" borderId="11" xfId="0" applyNumberFormat="1" applyFont="1" applyFill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  <xf numFmtId="165" fontId="3" fillId="6" borderId="13" xfId="0" applyNumberFormat="1" applyFont="1" applyFill="1" applyBorder="1" applyAlignment="1">
      <alignment horizontal="center" vertical="center"/>
    </xf>
    <xf numFmtId="2" fontId="3" fillId="6" borderId="15" xfId="0" applyNumberFormat="1" applyFont="1" applyFill="1" applyBorder="1" applyAlignment="1">
      <alignment horizontal="center" vertical="center"/>
    </xf>
    <xf numFmtId="2" fontId="3" fillId="6" borderId="13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14" xfId="0" applyNumberFormat="1" applyFont="1" applyFill="1" applyBorder="1" applyAlignment="1">
      <alignment horizontal="center" vertical="center" wrapText="1"/>
    </xf>
    <xf numFmtId="165" fontId="3" fillId="2" borderId="27" xfId="0" applyNumberFormat="1" applyFont="1" applyFill="1" applyBorder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165" fontId="3" fillId="2" borderId="15" xfId="0" applyNumberFormat="1" applyFont="1" applyFill="1" applyBorder="1" applyAlignment="1">
      <alignment horizontal="center" vertical="center" wrapText="1"/>
    </xf>
    <xf numFmtId="11" fontId="0" fillId="0" borderId="12" xfId="0" applyNumberFormat="1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11" fontId="0" fillId="0" borderId="27" xfId="0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13" borderId="23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0" xfId="0" applyFill="1"/>
    <xf numFmtId="0" fontId="0" fillId="13" borderId="4" xfId="0" applyFill="1" applyBorder="1"/>
    <xf numFmtId="0" fontId="0" fillId="13" borderId="3" xfId="0" applyFill="1" applyBorder="1" applyAlignment="1">
      <alignment vertical="center"/>
    </xf>
    <xf numFmtId="0" fontId="0" fillId="13" borderId="5" xfId="0" applyFill="1" applyBorder="1" applyAlignment="1">
      <alignment vertical="center"/>
    </xf>
    <xf numFmtId="0" fontId="0" fillId="13" borderId="19" xfId="0" applyFill="1" applyBorder="1"/>
    <xf numFmtId="0" fontId="0" fillId="13" borderId="6" xfId="0" applyFill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3" fillId="2" borderId="27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5" fontId="0" fillId="0" borderId="0" xfId="0" applyNumberFormat="1"/>
    <xf numFmtId="2" fontId="3" fillId="4" borderId="8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209550</xdr:colOff>
      <xdr:row>9</xdr:row>
      <xdr:rowOff>180978</xdr:rowOff>
    </xdr:from>
    <xdr:to>
      <xdr:col>17</xdr:col>
      <xdr:colOff>392206</xdr:colOff>
      <xdr:row>9</xdr:row>
      <xdr:rowOff>653374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D885C7D-FFD7-3274-269D-4BEE09DF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9815" y="2444566"/>
          <a:ext cx="2188509" cy="472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180975</xdr:colOff>
      <xdr:row>17</xdr:row>
      <xdr:rowOff>19050</xdr:rowOff>
    </xdr:from>
    <xdr:to>
      <xdr:col>18</xdr:col>
      <xdr:colOff>28576</xdr:colOff>
      <xdr:row>18</xdr:row>
      <xdr:rowOff>132917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AAD126-F42B-2509-F9F8-DC457C02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4133850"/>
          <a:ext cx="2466976" cy="304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465556</xdr:colOff>
      <xdr:row>24</xdr:row>
      <xdr:rowOff>19050</xdr:rowOff>
    </xdr:from>
    <xdr:to>
      <xdr:col>9</xdr:col>
      <xdr:colOff>866775</xdr:colOff>
      <xdr:row>28</xdr:row>
      <xdr:rowOff>9525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633DB3-5D03-EAAC-FE5D-F4854238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6331" y="5724525"/>
          <a:ext cx="4220744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323849</xdr:colOff>
      <xdr:row>29</xdr:row>
      <xdr:rowOff>95250</xdr:rowOff>
    </xdr:from>
    <xdr:to>
      <xdr:col>9</xdr:col>
      <xdr:colOff>114300</xdr:colOff>
      <xdr:row>31</xdr:row>
      <xdr:rowOff>47625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9D1A55A-613A-4671-B064-E9FA7703E6EE}"/>
            </a:ext>
          </a:extLst>
        </xdr:cNvPr>
        <xdr:cNvSpPr txBox="1"/>
      </xdr:nvSpPr>
      <xdr:spPr>
        <a:xfrm>
          <a:off x="4952999" y="6753225"/>
          <a:ext cx="1371601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/>
            <a:t>A</a:t>
          </a:r>
          <a:r>
            <a:rPr lang="pt-BR" sz="1400" b="0"/>
            <a:t>: Mtn, Mti,</a:t>
          </a:r>
          <a:r>
            <a:rPr lang="pt-BR" sz="1400" b="0" baseline="0"/>
            <a:t> Msi</a:t>
          </a:r>
          <a:endParaRPr lang="pt-BR" sz="1400" b="0"/>
        </a:p>
      </xdr:txBody>
    </xdr:sp>
    <xdr:clientData/>
  </xdr:twoCellAnchor>
  <xdr:twoCellAnchor>
    <xdr:from>
      <xdr:col>7</xdr:col>
      <xdr:colOff>571500</xdr:colOff>
      <xdr:row>21</xdr:row>
      <xdr:rowOff>28575</xdr:rowOff>
    </xdr:from>
    <xdr:to>
      <xdr:col>8</xdr:col>
      <xdr:colOff>619125</xdr:colOff>
      <xdr:row>22</xdr:row>
      <xdr:rowOff>190500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438B3E9-11D3-DEBD-4B8A-F45A5CFDA6F2}"/>
            </a:ext>
          </a:extLst>
        </xdr:cNvPr>
        <xdr:cNvSpPr txBox="1"/>
      </xdr:nvSpPr>
      <xdr:spPr>
        <a:xfrm>
          <a:off x="5200650" y="5133975"/>
          <a:ext cx="857250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/>
            <a:t>B</a:t>
          </a:r>
          <a:r>
            <a:rPr lang="pt-BR" sz="1400" b="0"/>
            <a:t>: A, Ctn</a:t>
          </a:r>
        </a:p>
      </xdr:txBody>
    </xdr:sp>
    <xdr:clientData/>
  </xdr:twoCellAnchor>
  <xdr:twoCellAnchor>
    <xdr:from>
      <xdr:col>6</xdr:col>
      <xdr:colOff>323849</xdr:colOff>
      <xdr:row>28</xdr:row>
      <xdr:rowOff>57150</xdr:rowOff>
    </xdr:from>
    <xdr:to>
      <xdr:col>9</xdr:col>
      <xdr:colOff>352424</xdr:colOff>
      <xdr:row>29</xdr:row>
      <xdr:rowOff>161925</xdr:rowOff>
    </xdr:to>
    <xdr:sp macro="" textlink="">
      <xdr:nvSpPr>
        <xdr:cNvPr id="5" name="Chave Direita 4">
          <a:extLst>
            <a:ext uri="{FF2B5EF4-FFF2-40B4-BE49-F238E27FC236}">
              <a16:creationId xmlns:a16="http://schemas.microsoft.com/office/drawing/2014/main" id="{23B6220B-479F-9C5E-6EFE-85BCC65F3C90}"/>
            </a:ext>
          </a:extLst>
        </xdr:cNvPr>
        <xdr:cNvSpPr/>
      </xdr:nvSpPr>
      <xdr:spPr>
        <a:xfrm rot="5400000">
          <a:off x="5248274" y="5505450"/>
          <a:ext cx="295275" cy="23336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295276</xdr:colOff>
      <xdr:row>22</xdr:row>
      <xdr:rowOff>95249</xdr:rowOff>
    </xdr:from>
    <xdr:to>
      <xdr:col>9</xdr:col>
      <xdr:colOff>866776</xdr:colOff>
      <xdr:row>23</xdr:row>
      <xdr:rowOff>190499</xdr:rowOff>
    </xdr:to>
    <xdr:sp macro="" textlink="">
      <xdr:nvSpPr>
        <xdr:cNvPr id="6" name="Chave Direita 5">
          <a:extLst>
            <a:ext uri="{FF2B5EF4-FFF2-40B4-BE49-F238E27FC236}">
              <a16:creationId xmlns:a16="http://schemas.microsoft.com/office/drawing/2014/main" id="{2BA1B174-4C57-4185-ACFE-B34298F72AB2}"/>
            </a:ext>
          </a:extLst>
        </xdr:cNvPr>
        <xdr:cNvSpPr/>
      </xdr:nvSpPr>
      <xdr:spPr>
        <a:xfrm rot="16200000">
          <a:off x="5491163" y="4110037"/>
          <a:ext cx="295275" cy="28765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2591-5C59-450D-AEDB-7C01CC3C5255}">
  <dimension ref="B1:T38"/>
  <sheetViews>
    <sheetView tabSelected="1" zoomScale="115" zoomScaleNormal="115" workbookViewId="0">
      <selection activeCell="L4" sqref="L4"/>
    </sheetView>
  </sheetViews>
  <sheetFormatPr defaultRowHeight="15" x14ac:dyDescent="0.25"/>
  <cols>
    <col min="1" max="1" width="3" customWidth="1"/>
    <col min="2" max="2" width="17.5703125" customWidth="1"/>
    <col min="4" max="5" width="9.140625" customWidth="1"/>
    <col min="6" max="6" width="13.5703125" customWidth="1"/>
    <col min="7" max="7" width="10.85546875" customWidth="1"/>
    <col min="8" max="8" width="12.140625" customWidth="1"/>
    <col min="9" max="9" width="11.5703125" customWidth="1"/>
    <col min="10" max="10" width="18.7109375" customWidth="1"/>
    <col min="11" max="11" width="11.5703125" customWidth="1"/>
    <col min="12" max="12" width="13" customWidth="1"/>
    <col min="13" max="13" width="9.7109375" customWidth="1"/>
    <col min="15" max="15" width="11.85546875" customWidth="1"/>
  </cols>
  <sheetData>
    <row r="1" spans="2:20" ht="15.75" thickBot="1" x14ac:dyDescent="0.3">
      <c r="B1" s="153" t="s">
        <v>0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7"/>
      <c r="O1" s="150" t="s">
        <v>1</v>
      </c>
      <c r="P1" s="151"/>
      <c r="Q1" s="152"/>
    </row>
    <row r="2" spans="2:20" ht="54.75" customHeight="1" thickBot="1" x14ac:dyDescent="0.3">
      <c r="B2" s="8" t="s">
        <v>2</v>
      </c>
      <c r="C2" s="9" t="s">
        <v>3</v>
      </c>
      <c r="D2" s="79" t="s">
        <v>4</v>
      </c>
      <c r="E2" s="80" t="s">
        <v>5</v>
      </c>
      <c r="F2" s="81" t="s">
        <v>6</v>
      </c>
      <c r="G2" s="82" t="s">
        <v>7</v>
      </c>
      <c r="H2" s="83" t="s">
        <v>8</v>
      </c>
      <c r="I2" s="84" t="s">
        <v>9</v>
      </c>
      <c r="J2" s="85" t="s">
        <v>10</v>
      </c>
      <c r="K2" s="86" t="s">
        <v>11</v>
      </c>
      <c r="L2" s="88" t="s">
        <v>12</v>
      </c>
      <c r="M2" s="89" t="s">
        <v>11</v>
      </c>
      <c r="N2" s="7"/>
      <c r="O2" s="10" t="s">
        <v>13</v>
      </c>
      <c r="P2" s="11" t="s">
        <v>14</v>
      </c>
      <c r="Q2" s="9" t="s">
        <v>15</v>
      </c>
    </row>
    <row r="3" spans="2:20" x14ac:dyDescent="0.25">
      <c r="B3" s="12" t="s">
        <v>16</v>
      </c>
      <c r="C3" s="13" t="s">
        <v>17</v>
      </c>
      <c r="D3" s="14">
        <v>0.1</v>
      </c>
      <c r="E3" s="15">
        <v>0.01</v>
      </c>
      <c r="F3" s="99">
        <f>'Strata DATA'!E2</f>
        <v>22.68</v>
      </c>
      <c r="G3" s="104">
        <f>F3*$P3</f>
        <v>2.4948000000000001</v>
      </c>
      <c r="H3" s="16">
        <f>'Strata DATA'!F7</f>
        <v>1.02</v>
      </c>
      <c r="I3" s="17">
        <f>H3*Q3</f>
        <v>9.5880000000000007E-2</v>
      </c>
      <c r="J3" s="149">
        <f>H3*D3*10000</f>
        <v>1020.0000000000001</v>
      </c>
      <c r="K3" s="76">
        <f>J3*((E3/D3)^2+(I3/H3)^2)^0.5</f>
        <v>139.98919386866976</v>
      </c>
      <c r="L3" s="90">
        <f>10*F3*H3*D3</f>
        <v>23.133600000000001</v>
      </c>
      <c r="M3" s="91">
        <f>L3*((G3/F3)^2+(I3/H3)^2+(E3/D3)^2)^0.5</f>
        <v>4.0688839326068962</v>
      </c>
      <c r="N3" s="7"/>
      <c r="O3" s="19" t="s">
        <v>17</v>
      </c>
      <c r="P3" s="20">
        <v>0.11</v>
      </c>
      <c r="Q3" s="21">
        <v>9.4E-2</v>
      </c>
    </row>
    <row r="4" spans="2:20" x14ac:dyDescent="0.25">
      <c r="B4" s="22" t="s">
        <v>16</v>
      </c>
      <c r="C4" s="23" t="s">
        <v>18</v>
      </c>
      <c r="D4" s="24">
        <v>0.1</v>
      </c>
      <c r="E4" s="25">
        <v>0.01</v>
      </c>
      <c r="F4" s="100">
        <f>'Strata DATA'!E3</f>
        <v>21.03</v>
      </c>
      <c r="G4" s="105">
        <f>F4*$P4</f>
        <v>2.9442000000000004</v>
      </c>
      <c r="H4" s="16">
        <f>'Strata DATA'!F8</f>
        <v>1.1200000000000001</v>
      </c>
      <c r="I4" s="17">
        <f>H4*Q4</f>
        <v>0.10528000000000001</v>
      </c>
      <c r="J4" s="27">
        <f t="shared" ref="J4:J7" si="0">H4*D4*10000</f>
        <v>1120.0000000000002</v>
      </c>
      <c r="K4" s="77">
        <f t="shared" ref="K4:K7" si="1">J4*((E4/D4)^2+(I4/H4)^2)^0.5</f>
        <v>153.71362464010798</v>
      </c>
      <c r="L4" s="92">
        <f t="shared" ref="L4:L7" si="2">10*F4*H4*D4</f>
        <v>23.553600000000003</v>
      </c>
      <c r="M4" s="93">
        <f t="shared" ref="M4:M7" si="3">L4*((G4/F4)^2+(I4/H4)^2+(E4/D4)^2)^0.5</f>
        <v>4.6177071579183711</v>
      </c>
      <c r="N4" s="7"/>
      <c r="O4" s="28" t="s">
        <v>18</v>
      </c>
      <c r="P4" s="29">
        <v>0.14000000000000001</v>
      </c>
      <c r="Q4" s="30">
        <v>9.4E-2</v>
      </c>
    </row>
    <row r="5" spans="2:20" x14ac:dyDescent="0.25">
      <c r="B5" s="22" t="s">
        <v>16</v>
      </c>
      <c r="C5" s="23" t="s">
        <v>19</v>
      </c>
      <c r="D5" s="24">
        <v>0.1</v>
      </c>
      <c r="E5" s="25">
        <v>0.01</v>
      </c>
      <c r="F5" s="100">
        <f>'Strata DATA'!E4</f>
        <v>17.48</v>
      </c>
      <c r="G5" s="26">
        <f>F5*$P5</f>
        <v>5.2439999999999998</v>
      </c>
      <c r="H5" s="16">
        <f>'Strata DATA'!F9</f>
        <v>1.1299999999999999</v>
      </c>
      <c r="I5" s="17">
        <f>H5*Q5</f>
        <v>0.10621999999999999</v>
      </c>
      <c r="J5" s="27">
        <f t="shared" si="0"/>
        <v>1130</v>
      </c>
      <c r="K5" s="77">
        <f t="shared" si="1"/>
        <v>155.08606771725175</v>
      </c>
      <c r="L5" s="92">
        <f t="shared" si="2"/>
        <v>19.752400000000002</v>
      </c>
      <c r="M5" s="94">
        <f t="shared" si="3"/>
        <v>6.5163763342593537</v>
      </c>
      <c r="N5" s="7"/>
      <c r="O5" s="28" t="s">
        <v>19</v>
      </c>
      <c r="P5" s="29">
        <v>0.3</v>
      </c>
      <c r="Q5" s="30">
        <v>9.4E-2</v>
      </c>
    </row>
    <row r="6" spans="2:20" x14ac:dyDescent="0.25">
      <c r="B6" s="22" t="s">
        <v>16</v>
      </c>
      <c r="C6" s="23" t="s">
        <v>20</v>
      </c>
      <c r="D6" s="24">
        <v>0.1</v>
      </c>
      <c r="E6" s="25">
        <v>0.01</v>
      </c>
      <c r="F6" s="100">
        <f>'Strata DATA'!E5</f>
        <v>12.57</v>
      </c>
      <c r="G6" s="26">
        <f>F6*$P6</f>
        <v>1.5084</v>
      </c>
      <c r="H6" s="16">
        <f>'Strata DATA'!F10</f>
        <v>1.1200000000000001</v>
      </c>
      <c r="I6" s="17">
        <f>H6*Q6</f>
        <v>0.10528000000000001</v>
      </c>
      <c r="J6" s="27">
        <f t="shared" si="0"/>
        <v>1120.0000000000002</v>
      </c>
      <c r="K6" s="77">
        <f t="shared" si="1"/>
        <v>153.71362464010798</v>
      </c>
      <c r="L6" s="92">
        <f t="shared" si="2"/>
        <v>14.078400000000002</v>
      </c>
      <c r="M6" s="94">
        <f t="shared" si="3"/>
        <v>2.5665969598416036</v>
      </c>
      <c r="N6" s="7"/>
      <c r="O6" s="28" t="s">
        <v>20</v>
      </c>
      <c r="P6" s="29">
        <v>0.12</v>
      </c>
      <c r="Q6" s="30">
        <v>9.4E-2</v>
      </c>
    </row>
    <row r="7" spans="2:20" ht="15.75" thickBot="1" x14ac:dyDescent="0.3">
      <c r="B7" s="31" t="s">
        <v>16</v>
      </c>
      <c r="C7" s="32" t="s">
        <v>21</v>
      </c>
      <c r="D7" s="33">
        <v>0.2</v>
      </c>
      <c r="E7" s="34">
        <v>0.01</v>
      </c>
      <c r="F7" s="101">
        <f>'Strata DATA'!E6</f>
        <v>11.58</v>
      </c>
      <c r="G7" s="35">
        <f>F7*$P7</f>
        <v>1.1580000000000001</v>
      </c>
      <c r="H7" s="36">
        <f>H6</f>
        <v>1.1200000000000001</v>
      </c>
      <c r="I7" s="37">
        <f>H7*Q7</f>
        <v>0.10528000000000001</v>
      </c>
      <c r="J7" s="38">
        <f t="shared" si="0"/>
        <v>2240.0000000000005</v>
      </c>
      <c r="K7" s="78">
        <f t="shared" si="1"/>
        <v>238.49426324337449</v>
      </c>
      <c r="L7" s="95">
        <f t="shared" si="2"/>
        <v>25.9392</v>
      </c>
      <c r="M7" s="96">
        <f t="shared" si="3"/>
        <v>3.7888994409869259</v>
      </c>
      <c r="N7" s="7"/>
      <c r="O7" s="39" t="s">
        <v>21</v>
      </c>
      <c r="P7" s="40">
        <v>0.1</v>
      </c>
      <c r="Q7" s="41">
        <v>9.4E-2</v>
      </c>
    </row>
    <row r="8" spans="2:20" ht="15.75" thickBot="1" x14ac:dyDescent="0.3">
      <c r="B8" s="42"/>
      <c r="C8" s="42"/>
      <c r="D8" s="42"/>
      <c r="E8" s="42"/>
      <c r="F8" s="42"/>
      <c r="G8" s="42"/>
      <c r="H8" s="42"/>
      <c r="I8" s="42"/>
      <c r="J8" s="42"/>
      <c r="K8" s="43"/>
      <c r="L8" s="7"/>
      <c r="M8" s="7"/>
      <c r="N8" s="7"/>
      <c r="O8" s="7"/>
      <c r="P8" s="7"/>
      <c r="Q8" s="7"/>
    </row>
    <row r="9" spans="2:20" ht="15.75" thickBot="1" x14ac:dyDescent="0.3">
      <c r="B9" s="156" t="s">
        <v>22</v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8"/>
      <c r="N9" s="7"/>
      <c r="O9" s="7"/>
      <c r="P9" s="7"/>
      <c r="Q9" s="7"/>
    </row>
    <row r="10" spans="2:20" ht="54.75" customHeight="1" thickBot="1" x14ac:dyDescent="0.3">
      <c r="B10" s="8" t="s">
        <v>2</v>
      </c>
      <c r="C10" s="9" t="s">
        <v>3</v>
      </c>
      <c r="D10" s="79" t="s">
        <v>4</v>
      </c>
      <c r="E10" s="80" t="s">
        <v>5</v>
      </c>
      <c r="F10" s="81" t="s">
        <v>6</v>
      </c>
      <c r="G10" s="82" t="s">
        <v>7</v>
      </c>
      <c r="H10" s="83" t="s">
        <v>8</v>
      </c>
      <c r="I10" s="84" t="s">
        <v>9</v>
      </c>
      <c r="J10" s="85" t="s">
        <v>10</v>
      </c>
      <c r="K10" s="86" t="s">
        <v>11</v>
      </c>
      <c r="L10" s="88" t="s">
        <v>12</v>
      </c>
      <c r="M10" s="89" t="s">
        <v>11</v>
      </c>
      <c r="N10" s="7"/>
      <c r="O10" s="44"/>
      <c r="P10" s="45"/>
      <c r="Q10" s="45"/>
      <c r="R10" s="1"/>
      <c r="S10" s="1"/>
      <c r="T10" s="2"/>
    </row>
    <row r="11" spans="2:20" x14ac:dyDescent="0.25">
      <c r="B11" s="22" t="s">
        <v>23</v>
      </c>
      <c r="C11" s="46" t="s">
        <v>17</v>
      </c>
      <c r="D11" s="47">
        <v>0.1</v>
      </c>
      <c r="E11" s="48">
        <v>0.01</v>
      </c>
      <c r="F11" s="102">
        <f>'Reference Area DATA'!E2</f>
        <v>17.489999999999998</v>
      </c>
      <c r="G11" s="49">
        <f>F11*$P3</f>
        <v>1.9238999999999999</v>
      </c>
      <c r="H11" s="50">
        <f>'Reference Area DATA'!F7</f>
        <v>1.03</v>
      </c>
      <c r="I11" s="51">
        <f>H11*$Q3</f>
        <v>9.6820000000000003E-2</v>
      </c>
      <c r="J11" s="18">
        <f t="shared" ref="J11:J15" si="4">H11*D11*10000</f>
        <v>1030</v>
      </c>
      <c r="K11" s="76">
        <f>J11*((E11/D11)^2+(I11/H11)^2)^0.5</f>
        <v>141.36163694581356</v>
      </c>
      <c r="L11" s="90">
        <f>10*F11*H11*D11</f>
        <v>18.014700000000001</v>
      </c>
      <c r="M11" s="97">
        <f>L11*((G11/F11)^2+(I11/H11)^2+(E11/D11)^2)^0.5</f>
        <v>3.1685394136984066</v>
      </c>
      <c r="N11" s="7"/>
      <c r="O11" s="52"/>
      <c r="P11" s="53"/>
      <c r="Q11" s="53"/>
      <c r="R11" s="3"/>
      <c r="S11" s="3"/>
      <c r="T11" s="4"/>
    </row>
    <row r="12" spans="2:20" x14ac:dyDescent="0.25">
      <c r="B12" s="22" t="s">
        <v>23</v>
      </c>
      <c r="C12" s="54" t="s">
        <v>18</v>
      </c>
      <c r="D12" s="55">
        <v>0.1</v>
      </c>
      <c r="E12" s="56">
        <v>0.01</v>
      </c>
      <c r="F12" s="103">
        <f>'Reference Area DATA'!E3</f>
        <v>17.14</v>
      </c>
      <c r="G12" s="57">
        <f>F12*$P4</f>
        <v>2.3996000000000004</v>
      </c>
      <c r="H12" s="50">
        <f>'Reference Area DATA'!F8</f>
        <v>1.03</v>
      </c>
      <c r="I12" s="51">
        <f>H12*$Q4</f>
        <v>9.6820000000000003E-2</v>
      </c>
      <c r="J12" s="27">
        <f t="shared" si="4"/>
        <v>1030</v>
      </c>
      <c r="K12" s="77">
        <f t="shared" ref="K12:K15" si="5">J12*((E12/D12)^2+(I12/H12)^2)^0.5</f>
        <v>141.36163694581356</v>
      </c>
      <c r="L12" s="92">
        <f t="shared" ref="L12:L15" si="6">10*F12*H12*D12</f>
        <v>17.654199999999999</v>
      </c>
      <c r="M12" s="94">
        <f t="shared" ref="M12:M15" si="7">L12*((G12/F12)^2+(I12/H12)^2+(E12/D12)^2)^0.5</f>
        <v>3.4611238072873149</v>
      </c>
      <c r="N12" s="7"/>
      <c r="O12" s="52" t="s">
        <v>24</v>
      </c>
      <c r="P12" s="53"/>
      <c r="Q12" s="53"/>
      <c r="R12" s="3"/>
      <c r="S12" s="3"/>
      <c r="T12" s="4"/>
    </row>
    <row r="13" spans="2:20" x14ac:dyDescent="0.25">
      <c r="B13" s="22" t="s">
        <v>23</v>
      </c>
      <c r="C13" s="54" t="s">
        <v>19</v>
      </c>
      <c r="D13" s="55">
        <v>0.1</v>
      </c>
      <c r="E13" s="56">
        <v>0.01</v>
      </c>
      <c r="F13" s="103">
        <f>'Reference Area DATA'!E4</f>
        <v>15.08</v>
      </c>
      <c r="G13" s="57">
        <f>F13*$P5</f>
        <v>4.524</v>
      </c>
      <c r="H13" s="50">
        <f>'Reference Area DATA'!F9</f>
        <v>1.07</v>
      </c>
      <c r="I13" s="51">
        <f>H13*$Q5</f>
        <v>0.10058</v>
      </c>
      <c r="J13" s="27">
        <f t="shared" si="4"/>
        <v>1070.0000000000002</v>
      </c>
      <c r="K13" s="77">
        <f t="shared" si="5"/>
        <v>146.85140925438887</v>
      </c>
      <c r="L13" s="92">
        <f t="shared" si="6"/>
        <v>16.135600000000004</v>
      </c>
      <c r="M13" s="94">
        <f t="shared" si="7"/>
        <v>5.3231831058036105</v>
      </c>
      <c r="N13" s="7"/>
      <c r="O13" s="52" t="s">
        <v>25</v>
      </c>
      <c r="P13" s="53"/>
      <c r="Q13" s="53"/>
      <c r="R13" s="3"/>
      <c r="S13" s="3"/>
      <c r="T13" s="4"/>
    </row>
    <row r="14" spans="2:20" x14ac:dyDescent="0.25">
      <c r="B14" s="22" t="s">
        <v>23</v>
      </c>
      <c r="C14" s="54" t="s">
        <v>20</v>
      </c>
      <c r="D14" s="55">
        <v>0.1</v>
      </c>
      <c r="E14" s="56">
        <v>0.01</v>
      </c>
      <c r="F14" s="103">
        <f>'Reference Area DATA'!E5</f>
        <v>13.59</v>
      </c>
      <c r="G14" s="57">
        <f>F14*$P6</f>
        <v>1.6308</v>
      </c>
      <c r="H14" s="50">
        <f>'Reference Area DATA'!F10</f>
        <v>0.93</v>
      </c>
      <c r="I14" s="51">
        <f>H14*$Q6</f>
        <v>8.7420000000000012E-2</v>
      </c>
      <c r="J14" s="27">
        <f t="shared" si="4"/>
        <v>930.00000000000011</v>
      </c>
      <c r="K14" s="77">
        <f t="shared" si="5"/>
        <v>127.63720617437536</v>
      </c>
      <c r="L14" s="92">
        <f t="shared" si="6"/>
        <v>12.638700000000002</v>
      </c>
      <c r="M14" s="94">
        <f t="shared" si="7"/>
        <v>2.3041289490531649</v>
      </c>
      <c r="N14" s="7"/>
      <c r="O14" s="52" t="s">
        <v>26</v>
      </c>
      <c r="P14" s="53"/>
      <c r="Q14" s="53"/>
      <c r="R14" s="3"/>
      <c r="S14" s="3"/>
      <c r="T14" s="4"/>
    </row>
    <row r="15" spans="2:20" ht="15.75" thickBot="1" x14ac:dyDescent="0.3">
      <c r="B15" s="31" t="s">
        <v>23</v>
      </c>
      <c r="C15" s="58" t="s">
        <v>21</v>
      </c>
      <c r="D15" s="59">
        <v>0.2</v>
      </c>
      <c r="E15" s="60">
        <v>0.01</v>
      </c>
      <c r="F15" s="140">
        <f>'Reference Area DATA'!E6</f>
        <v>13.5</v>
      </c>
      <c r="G15" s="61">
        <f>F15*$P7</f>
        <v>1.35</v>
      </c>
      <c r="H15" s="62">
        <f>H14</f>
        <v>0.93</v>
      </c>
      <c r="I15" s="63">
        <f>H15*$Q7</f>
        <v>8.7420000000000012E-2</v>
      </c>
      <c r="J15" s="38">
        <f t="shared" si="4"/>
        <v>1860.0000000000002</v>
      </c>
      <c r="K15" s="78">
        <f t="shared" si="5"/>
        <v>198.03541501458778</v>
      </c>
      <c r="L15" s="95">
        <f t="shared" si="6"/>
        <v>25.110000000000003</v>
      </c>
      <c r="M15" s="98">
        <f t="shared" si="7"/>
        <v>3.6677794597821727</v>
      </c>
      <c r="N15" s="7"/>
      <c r="O15" s="64" t="s">
        <v>27</v>
      </c>
      <c r="P15" s="65"/>
      <c r="Q15" s="65"/>
      <c r="R15" s="5"/>
      <c r="S15" s="5"/>
      <c r="T15" s="6"/>
    </row>
    <row r="16" spans="2:20" ht="15.75" thickBot="1" x14ac:dyDescent="0.3">
      <c r="L16" s="87"/>
      <c r="M16" s="87"/>
    </row>
    <row r="17" spans="2:20" ht="15.75" thickBot="1" x14ac:dyDescent="0.3">
      <c r="O17" s="67"/>
      <c r="P17" s="68"/>
      <c r="Q17" s="68"/>
      <c r="R17" s="68"/>
      <c r="S17" s="68"/>
      <c r="T17" s="69"/>
    </row>
    <row r="18" spans="2:20" x14ac:dyDescent="0.25">
      <c r="B18" s="113" t="s">
        <v>28</v>
      </c>
      <c r="C18" s="117" t="s">
        <v>29</v>
      </c>
      <c r="D18" s="118" t="s">
        <v>30</v>
      </c>
      <c r="E18" s="119" t="s">
        <v>31</v>
      </c>
      <c r="F18" s="121" t="s">
        <v>32</v>
      </c>
      <c r="G18" s="122" t="s">
        <v>33</v>
      </c>
      <c r="H18" s="123" t="s">
        <v>34</v>
      </c>
      <c r="I18" s="124" t="s">
        <v>35</v>
      </c>
      <c r="J18" s="125" t="s">
        <v>36</v>
      </c>
      <c r="K18" s="126" t="s">
        <v>37</v>
      </c>
      <c r="L18" s="127" t="s">
        <v>38</v>
      </c>
      <c r="M18" s="114" t="s">
        <v>39</v>
      </c>
      <c r="O18" s="70"/>
      <c r="P18" s="71"/>
      <c r="Q18" s="71"/>
      <c r="R18" s="71"/>
      <c r="S18" s="71"/>
      <c r="T18" s="72"/>
    </row>
    <row r="19" spans="2:20" ht="15.75" thickBot="1" x14ac:dyDescent="0.3">
      <c r="B19" s="115">
        <f>SUM($L$3:$L$6)</f>
        <v>80.518000000000015</v>
      </c>
      <c r="C19" s="116">
        <f>(($M$3^2)+($M$4^2)+($M$5^2)+($M$6^2))^0.5</f>
        <v>9.3236053293391095</v>
      </c>
      <c r="D19" s="106">
        <f>$J$7</f>
        <v>2240.0000000000005</v>
      </c>
      <c r="E19" s="120">
        <f>$K$7</f>
        <v>238.49426324337449</v>
      </c>
      <c r="F19" s="106">
        <f>SUM($J$3:$J$7)</f>
        <v>6630.0000000000018</v>
      </c>
      <c r="G19" s="120">
        <f>(($K$3^2)+($K$4^2)+($K$5^2)+($K$6^2)+($K$7^2))^0.5</f>
        <v>384.42675921428781</v>
      </c>
      <c r="H19" s="106">
        <f>SUM($J$11:$J$15)</f>
        <v>5920</v>
      </c>
      <c r="I19" s="120">
        <f>(($K$11^2)+($K$12^2)+($K$13^2)+($K$14^2)+($K$15^2))^0.5</f>
        <v>342.11232541374483</v>
      </c>
      <c r="J19" s="106">
        <f>$F$7/1000</f>
        <v>1.158E-2</v>
      </c>
      <c r="K19" s="107">
        <f>$G$7/1000</f>
        <v>1.1580000000000002E-3</v>
      </c>
      <c r="L19" s="115">
        <f>$B$19+($D$19-($F$19-$H$19))*$J$19</f>
        <v>98.235399999999998</v>
      </c>
      <c r="M19" s="116">
        <f>((C19^2)+(C24^2))^0.5</f>
        <v>11.541579879654114</v>
      </c>
      <c r="O19" s="70"/>
      <c r="P19" s="71"/>
      <c r="Q19" s="71"/>
      <c r="R19" s="71"/>
      <c r="S19" s="71"/>
      <c r="T19" s="72"/>
    </row>
    <row r="20" spans="2:20" ht="15.75" thickBot="1" x14ac:dyDescent="0.3">
      <c r="O20" s="70" t="s">
        <v>24</v>
      </c>
      <c r="P20" s="71"/>
      <c r="Q20" s="71"/>
      <c r="R20" s="71"/>
      <c r="S20" s="71"/>
      <c r="T20" s="72"/>
    </row>
    <row r="21" spans="2:20" ht="15.75" thickBot="1" x14ac:dyDescent="0.3">
      <c r="B21" s="109" t="s">
        <v>40</v>
      </c>
      <c r="C21" s="110" t="s">
        <v>41</v>
      </c>
      <c r="L21" s="148"/>
      <c r="O21" s="70" t="s">
        <v>42</v>
      </c>
      <c r="P21" s="71"/>
      <c r="Q21" s="71"/>
      <c r="R21" s="71"/>
      <c r="S21" s="71"/>
      <c r="T21" s="72"/>
    </row>
    <row r="22" spans="2:20" ht="15.75" thickBot="1" x14ac:dyDescent="0.3">
      <c r="B22" s="108">
        <f>D19-F19+H19</f>
        <v>1529.9999999999982</v>
      </c>
      <c r="C22" s="111">
        <f>(($E$19^2)+($G$19^2)+($I$19^2))^0.5</f>
        <v>567.18981831482131</v>
      </c>
      <c r="E22" s="128"/>
      <c r="F22" s="129"/>
      <c r="G22" s="129"/>
      <c r="H22" s="129"/>
      <c r="I22" s="129"/>
      <c r="J22" s="130"/>
      <c r="O22" s="70" t="s">
        <v>43</v>
      </c>
      <c r="P22" s="71"/>
      <c r="Q22" s="71"/>
      <c r="R22" s="71"/>
      <c r="S22" s="71"/>
      <c r="T22" s="72"/>
    </row>
    <row r="23" spans="2:20" ht="15.75" thickBot="1" x14ac:dyDescent="0.3">
      <c r="B23" s="109" t="s">
        <v>44</v>
      </c>
      <c r="C23" s="110" t="s">
        <v>45</v>
      </c>
      <c r="E23" s="131"/>
      <c r="F23" s="132"/>
      <c r="G23" s="132"/>
      <c r="H23" s="132"/>
      <c r="I23" s="132"/>
      <c r="J23" s="133"/>
      <c r="O23" s="70" t="s">
        <v>46</v>
      </c>
      <c r="P23" s="71"/>
      <c r="Q23" s="71"/>
      <c r="R23" s="71"/>
      <c r="S23" s="71"/>
      <c r="T23" s="72"/>
    </row>
    <row r="24" spans="2:20" ht="15.75" thickBot="1" x14ac:dyDescent="0.3">
      <c r="B24" s="112">
        <f>$B$22*$J$19</f>
        <v>17.71739999999998</v>
      </c>
      <c r="C24" s="111">
        <f>B24*(($C$22/$B$22)^2+($K$19/$J$19)^2)^0.5</f>
        <v>6.8028266023143633</v>
      </c>
      <c r="E24" s="131"/>
      <c r="F24" s="132"/>
      <c r="G24" s="132"/>
      <c r="H24" s="132"/>
      <c r="I24" s="132"/>
      <c r="J24" s="133"/>
      <c r="O24" s="73" t="s">
        <v>47</v>
      </c>
      <c r="P24" s="74"/>
      <c r="Q24" s="74"/>
      <c r="R24" s="74"/>
      <c r="S24" s="74"/>
      <c r="T24" s="75"/>
    </row>
    <row r="25" spans="2:20" x14ac:dyDescent="0.25">
      <c r="E25" s="131"/>
      <c r="F25" s="132"/>
      <c r="G25" s="132"/>
      <c r="H25" s="132"/>
      <c r="I25" s="132"/>
      <c r="J25" s="133"/>
    </row>
    <row r="26" spans="2:20" x14ac:dyDescent="0.25">
      <c r="E26" s="131"/>
      <c r="F26" s="132"/>
      <c r="G26" s="132"/>
      <c r="H26" s="132"/>
      <c r="I26" s="132"/>
      <c r="J26" s="133"/>
    </row>
    <row r="27" spans="2:20" x14ac:dyDescent="0.25">
      <c r="E27" s="131"/>
      <c r="F27" s="132"/>
      <c r="G27" s="132"/>
      <c r="H27" s="132"/>
      <c r="I27" s="132"/>
      <c r="J27" s="133"/>
    </row>
    <row r="28" spans="2:20" x14ac:dyDescent="0.25">
      <c r="E28" s="131"/>
      <c r="F28" s="132"/>
      <c r="G28" s="132"/>
      <c r="H28" s="132"/>
      <c r="I28" s="132"/>
      <c r="J28" s="133"/>
    </row>
    <row r="29" spans="2:20" x14ac:dyDescent="0.25">
      <c r="E29" s="131"/>
      <c r="F29" s="132"/>
      <c r="G29" s="132"/>
      <c r="H29" s="132"/>
      <c r="I29" s="132"/>
      <c r="J29" s="133"/>
    </row>
    <row r="30" spans="2:20" x14ac:dyDescent="0.25">
      <c r="E30" s="131"/>
      <c r="F30" s="132"/>
      <c r="G30" s="132"/>
      <c r="H30" s="132"/>
      <c r="I30" s="132"/>
      <c r="J30" s="133"/>
    </row>
    <row r="31" spans="2:20" x14ac:dyDescent="0.25">
      <c r="E31" s="131"/>
      <c r="F31" s="132"/>
      <c r="G31" s="132"/>
      <c r="H31" s="132"/>
      <c r="I31" s="132"/>
      <c r="J31" s="133"/>
    </row>
    <row r="32" spans="2:20" x14ac:dyDescent="0.25">
      <c r="E32" s="134" t="s">
        <v>24</v>
      </c>
      <c r="F32" s="132"/>
      <c r="G32" s="132"/>
      <c r="H32" s="132"/>
      <c r="I32" s="132"/>
      <c r="J32" s="133"/>
    </row>
    <row r="33" spans="5:10" ht="17.25" x14ac:dyDescent="0.25">
      <c r="E33" s="134" t="s">
        <v>48</v>
      </c>
      <c r="F33" s="132"/>
      <c r="G33" s="132"/>
      <c r="H33" s="132"/>
      <c r="I33" s="132"/>
      <c r="J33" s="133"/>
    </row>
    <row r="34" spans="5:10" ht="17.25" x14ac:dyDescent="0.25">
      <c r="E34" s="134" t="s">
        <v>49</v>
      </c>
      <c r="F34" s="132"/>
      <c r="G34" s="132"/>
      <c r="H34" s="132"/>
      <c r="I34" s="132"/>
      <c r="J34" s="133"/>
    </row>
    <row r="35" spans="5:10" ht="17.25" x14ac:dyDescent="0.25">
      <c r="E35" s="134" t="s">
        <v>50</v>
      </c>
      <c r="F35" s="132"/>
      <c r="G35" s="132"/>
      <c r="H35" s="132"/>
      <c r="I35" s="132"/>
      <c r="J35" s="133"/>
    </row>
    <row r="36" spans="5:10" ht="17.25" x14ac:dyDescent="0.25">
      <c r="E36" s="134" t="s">
        <v>51</v>
      </c>
      <c r="F36" s="132"/>
      <c r="G36" s="132"/>
      <c r="H36" s="132"/>
      <c r="I36" s="132"/>
      <c r="J36" s="133"/>
    </row>
    <row r="37" spans="5:10" ht="17.25" x14ac:dyDescent="0.25">
      <c r="E37" s="134" t="s">
        <v>52</v>
      </c>
      <c r="F37" s="132"/>
      <c r="G37" s="132"/>
      <c r="H37" s="132"/>
      <c r="I37" s="132"/>
      <c r="J37" s="133"/>
    </row>
    <row r="38" spans="5:10" ht="18" thickBot="1" x14ac:dyDescent="0.3">
      <c r="E38" s="135" t="s">
        <v>53</v>
      </c>
      <c r="F38" s="136"/>
      <c r="G38" s="136"/>
      <c r="H38" s="136"/>
      <c r="I38" s="136"/>
      <c r="J38" s="137"/>
    </row>
  </sheetData>
  <mergeCells count="3">
    <mergeCell ref="O1:Q1"/>
    <mergeCell ref="B1:M1"/>
    <mergeCell ref="B9:M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6D91-7C7C-49FC-9E84-E15BA18ED230}">
  <dimension ref="A1:G10"/>
  <sheetViews>
    <sheetView workbookViewId="0">
      <selection activeCell="F7" sqref="F7:F10"/>
    </sheetView>
  </sheetViews>
  <sheetFormatPr defaultRowHeight="15" x14ac:dyDescent="0.25"/>
  <cols>
    <col min="1" max="1" width="29.28515625" bestFit="1" customWidth="1"/>
    <col min="2" max="2" width="15.28515625" bestFit="1" customWidth="1"/>
    <col min="3" max="3" width="10.85546875" bestFit="1" customWidth="1"/>
    <col min="4" max="4" width="14" bestFit="1" customWidth="1"/>
    <col min="5" max="5" width="21.85546875" bestFit="1" customWidth="1"/>
    <col min="6" max="6" width="19.42578125" bestFit="1" customWidth="1"/>
  </cols>
  <sheetData>
    <row r="1" spans="1:7" ht="30.75" thickBot="1" x14ac:dyDescent="0.3">
      <c r="A1" s="138" t="s">
        <v>54</v>
      </c>
      <c r="B1" s="138" t="s">
        <v>0</v>
      </c>
      <c r="C1" s="138" t="s">
        <v>55</v>
      </c>
      <c r="D1" s="138" t="s">
        <v>3</v>
      </c>
      <c r="E1" s="139" t="s">
        <v>56</v>
      </c>
      <c r="F1" s="139" t="s">
        <v>57</v>
      </c>
      <c r="G1" s="66"/>
    </row>
    <row r="2" spans="1:7" x14ac:dyDescent="0.25">
      <c r="A2" t="s">
        <v>58</v>
      </c>
      <c r="B2">
        <v>1</v>
      </c>
      <c r="C2" t="s">
        <v>16</v>
      </c>
      <c r="D2" t="s">
        <v>17</v>
      </c>
      <c r="E2" s="144">
        <v>22.68</v>
      </c>
    </row>
    <row r="3" spans="1:7" x14ac:dyDescent="0.25">
      <c r="A3" t="s">
        <v>59</v>
      </c>
      <c r="B3">
        <v>1</v>
      </c>
      <c r="C3" t="s">
        <v>16</v>
      </c>
      <c r="D3" t="s">
        <v>18</v>
      </c>
      <c r="E3" s="145">
        <v>21.03</v>
      </c>
    </row>
    <row r="4" spans="1:7" x14ac:dyDescent="0.25">
      <c r="A4" t="s">
        <v>60</v>
      </c>
      <c r="B4">
        <v>1</v>
      </c>
      <c r="C4" t="s">
        <v>16</v>
      </c>
      <c r="D4" t="s">
        <v>19</v>
      </c>
      <c r="E4" s="146">
        <v>17.48</v>
      </c>
    </row>
    <row r="5" spans="1:7" x14ac:dyDescent="0.25">
      <c r="A5" t="s">
        <v>61</v>
      </c>
      <c r="B5">
        <v>1</v>
      </c>
      <c r="C5" t="s">
        <v>16</v>
      </c>
      <c r="D5" t="s">
        <v>20</v>
      </c>
      <c r="E5" s="145">
        <v>12.57</v>
      </c>
    </row>
    <row r="6" spans="1:7" ht="15.75" thickBot="1" x14ac:dyDescent="0.3">
      <c r="A6" t="s">
        <v>62</v>
      </c>
      <c r="B6">
        <v>1</v>
      </c>
      <c r="C6" t="s">
        <v>16</v>
      </c>
      <c r="D6" t="s">
        <v>21</v>
      </c>
      <c r="E6" s="147">
        <v>11.58</v>
      </c>
    </row>
    <row r="7" spans="1:7" x14ac:dyDescent="0.25">
      <c r="A7" t="s">
        <v>63</v>
      </c>
      <c r="B7">
        <v>1</v>
      </c>
      <c r="C7" t="s">
        <v>16</v>
      </c>
      <c r="D7" t="s">
        <v>17</v>
      </c>
      <c r="F7" s="141">
        <v>1.02</v>
      </c>
    </row>
    <row r="8" spans="1:7" x14ac:dyDescent="0.25">
      <c r="A8" t="s">
        <v>64</v>
      </c>
      <c r="B8">
        <v>1</v>
      </c>
      <c r="C8" t="s">
        <v>16</v>
      </c>
      <c r="D8" t="s">
        <v>18</v>
      </c>
      <c r="F8" s="142">
        <v>1.1200000000000001</v>
      </c>
    </row>
    <row r="9" spans="1:7" x14ac:dyDescent="0.25">
      <c r="A9" t="s">
        <v>65</v>
      </c>
      <c r="B9">
        <v>1</v>
      </c>
      <c r="C9" t="s">
        <v>16</v>
      </c>
      <c r="D9" t="s">
        <v>19</v>
      </c>
      <c r="F9" s="143">
        <v>1.1299999999999999</v>
      </c>
    </row>
    <row r="10" spans="1:7" x14ac:dyDescent="0.25">
      <c r="A10" t="s">
        <v>66</v>
      </c>
      <c r="B10">
        <v>1</v>
      </c>
      <c r="C10" t="s">
        <v>16</v>
      </c>
      <c r="D10" t="s">
        <v>20</v>
      </c>
      <c r="F10" s="142">
        <v>1.1200000000000001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0E72-50A9-46D4-B812-4796E90B7ADB}">
  <dimension ref="A1:F10"/>
  <sheetViews>
    <sheetView workbookViewId="0">
      <selection activeCell="F7" sqref="F7:F10"/>
    </sheetView>
  </sheetViews>
  <sheetFormatPr defaultRowHeight="15" x14ac:dyDescent="0.25"/>
  <cols>
    <col min="1" max="1" width="29.28515625" bestFit="1" customWidth="1"/>
    <col min="2" max="2" width="15.28515625" bestFit="1" customWidth="1"/>
    <col min="3" max="3" width="10.85546875" bestFit="1" customWidth="1"/>
    <col min="4" max="4" width="10.42578125" bestFit="1" customWidth="1"/>
    <col min="5" max="5" width="21.85546875" bestFit="1" customWidth="1"/>
    <col min="6" max="6" width="21.140625" customWidth="1"/>
  </cols>
  <sheetData>
    <row r="1" spans="1:6" ht="30.75" thickBot="1" x14ac:dyDescent="0.3">
      <c r="A1" s="139" t="s">
        <v>54</v>
      </c>
      <c r="B1" s="139" t="s">
        <v>0</v>
      </c>
      <c r="C1" s="139" t="s">
        <v>55</v>
      </c>
      <c r="D1" s="139" t="s">
        <v>3</v>
      </c>
      <c r="E1" s="139" t="s">
        <v>56</v>
      </c>
      <c r="F1" s="139" t="s">
        <v>57</v>
      </c>
    </row>
    <row r="2" spans="1:6" x14ac:dyDescent="0.25">
      <c r="A2" t="s">
        <v>67</v>
      </c>
      <c r="B2" t="s">
        <v>68</v>
      </c>
      <c r="C2">
        <v>1</v>
      </c>
      <c r="D2" t="s">
        <v>17</v>
      </c>
      <c r="E2" s="144">
        <v>17.489999999999998</v>
      </c>
    </row>
    <row r="3" spans="1:6" x14ac:dyDescent="0.25">
      <c r="A3" t="s">
        <v>69</v>
      </c>
      <c r="B3" t="s">
        <v>68</v>
      </c>
      <c r="C3">
        <v>1</v>
      </c>
      <c r="D3" t="s">
        <v>18</v>
      </c>
      <c r="E3" s="145">
        <v>17.14</v>
      </c>
    </row>
    <row r="4" spans="1:6" x14ac:dyDescent="0.25">
      <c r="A4" t="s">
        <v>70</v>
      </c>
      <c r="B4" t="s">
        <v>68</v>
      </c>
      <c r="C4">
        <v>1</v>
      </c>
      <c r="D4" t="s">
        <v>19</v>
      </c>
      <c r="E4" s="146">
        <v>15.08</v>
      </c>
    </row>
    <row r="5" spans="1:6" x14ac:dyDescent="0.25">
      <c r="A5" t="s">
        <v>71</v>
      </c>
      <c r="B5" t="s">
        <v>68</v>
      </c>
      <c r="C5">
        <v>1</v>
      </c>
      <c r="D5" t="s">
        <v>20</v>
      </c>
      <c r="E5" s="145">
        <v>13.59</v>
      </c>
    </row>
    <row r="6" spans="1:6" ht="15.75" thickBot="1" x14ac:dyDescent="0.3">
      <c r="A6" t="s">
        <v>72</v>
      </c>
      <c r="B6" t="s">
        <v>68</v>
      </c>
      <c r="C6">
        <v>1</v>
      </c>
      <c r="D6" t="s">
        <v>21</v>
      </c>
      <c r="E6" s="147">
        <v>13.5</v>
      </c>
    </row>
    <row r="7" spans="1:6" x14ac:dyDescent="0.25">
      <c r="A7" t="s">
        <v>73</v>
      </c>
      <c r="B7" t="s">
        <v>68</v>
      </c>
      <c r="C7">
        <v>1</v>
      </c>
      <c r="D7" t="s">
        <v>17</v>
      </c>
      <c r="F7" s="141">
        <v>1.03</v>
      </c>
    </row>
    <row r="8" spans="1:6" x14ac:dyDescent="0.25">
      <c r="A8" t="s">
        <v>74</v>
      </c>
      <c r="B8" t="s">
        <v>68</v>
      </c>
      <c r="C8">
        <v>1</v>
      </c>
      <c r="D8" t="s">
        <v>18</v>
      </c>
      <c r="F8" s="142">
        <v>1.03</v>
      </c>
    </row>
    <row r="9" spans="1:6" x14ac:dyDescent="0.25">
      <c r="A9" t="s">
        <v>75</v>
      </c>
      <c r="B9" t="s">
        <v>68</v>
      </c>
      <c r="C9">
        <v>1</v>
      </c>
      <c r="D9" t="s">
        <v>19</v>
      </c>
      <c r="F9" s="143">
        <v>1.07</v>
      </c>
    </row>
    <row r="10" spans="1:6" x14ac:dyDescent="0.25">
      <c r="A10" t="s">
        <v>76</v>
      </c>
      <c r="B10" t="s">
        <v>68</v>
      </c>
      <c r="C10">
        <v>1</v>
      </c>
      <c r="D10" t="s">
        <v>20</v>
      </c>
      <c r="F10" s="142">
        <v>0.93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A8E1DF2A1DC644AD3758195D19BCA4" ma:contentTypeVersion="10" ma:contentTypeDescription="Crie um novo documento." ma:contentTypeScope="" ma:versionID="02761730f87ad312b7571ee2510b19b7">
  <xsd:schema xmlns:xsd="http://www.w3.org/2001/XMLSchema" xmlns:xs="http://www.w3.org/2001/XMLSchema" xmlns:p="http://schemas.microsoft.com/office/2006/metadata/properties" xmlns:ns2="43f2a326-d7b1-4344-ba22-e32992de1c1d" targetNamespace="http://schemas.microsoft.com/office/2006/metadata/properties" ma:root="true" ma:fieldsID="38b6060beec0a7e1672aa9b132abc303" ns2:_="">
    <xsd:import namespace="43f2a326-d7b1-4344-ba22-e32992de1c1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Andam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2a326-d7b1-4344-ba22-e32992de1c1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d1c86a-7691-4580-9fc6-d29a76d6cf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ndamento" ma:index="17" nillable="true" ma:displayName="Andamento" ma:default="Não iniciado" ma:format="RadioButtons" ma:internalName="Andamento">
      <xsd:simpleType>
        <xsd:union memberTypes="dms:Text">
          <xsd:simpleType>
            <xsd:restriction base="dms:Choice">
              <xsd:enumeration value="Não iniciado"/>
              <xsd:enumeration value="Em andamento"/>
              <xsd:enumeration value="Concluído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ndamento xmlns="43f2a326-d7b1-4344-ba22-e32992de1c1d">Concluído</Andamento>
    <lcf76f155ced4ddcb4097134ff3c332f xmlns="43f2a326-d7b1-4344-ba22-e32992de1c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BFF288-7ED7-4C92-9524-401C52E2FD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4114B9-F6C9-422A-80E8-9B0E0680E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2a326-d7b1-4344-ba22-e32992de1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28D05-09A0-4C57-B967-19C31867307C}">
  <ds:schemaRefs>
    <ds:schemaRef ds:uri="http://schemas.microsoft.com/office/2006/metadata/properties"/>
    <ds:schemaRef ds:uri="http://schemas.microsoft.com/office/infopath/2007/PartnerControls"/>
    <ds:schemaRef ds:uri="43f2a326-d7b1-4344-ba22-e32992de1c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Calculator</vt:lpstr>
      <vt:lpstr>Strata DATA</vt:lpstr>
      <vt:lpstr>Reference Area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 Lima</dc:creator>
  <cp:keywords/>
  <dc:description/>
  <cp:lastModifiedBy>Miguel Santos</cp:lastModifiedBy>
  <cp:revision/>
  <dcterms:created xsi:type="dcterms:W3CDTF">2024-02-27T19:20:36Z</dcterms:created>
  <dcterms:modified xsi:type="dcterms:W3CDTF">2026-03-11T13:11:17Z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0x01010080A8E1DF2A1DC644AD3758195D19BCA4</vt:lpwstr>
  </property>
</Properties>
</file>
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groroboticafca-my.sharepoint.com/personal/miguel_santos_agrorobotica_com_br/Documents/_Fertilidade/PROJETOS/01.ESTOQUE_CARBONO/"/>
    </mc:Choice>
  </mc:AlternateContent>
  <xr:revisionPtr revIDLastSave="6" documentId="13_ncr:1_{7DC6432D-99B6-47BF-B450-BA08B962C32F}" xr6:coauthVersionLast="47" xr6:coauthVersionMax="47" xr10:uidLastSave="{A457DFD6-6314-4BFF-AC1B-503CE72320F5}"/>
  <bookViews>
    <workbookView xWindow="-120" yWindow="-120" windowWidth="29040" windowHeight="15840" xr2:uid="{00000000-000D-0000-FFFF-FFFF00000000}"/>
  </bookViews>
  <sheets>
    <sheet name="Carbono" sheetId="1" r:id="rId1"/>
  </sheets>
  <definedNames>
    <definedName name="_xlnm._FilterDatabase" localSheetId="0" hidden="1">Carbono!$A$1:$S$67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9" i="1" l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68" i="1"/>
</calcChain>
</file>

<file path=xl/sharedStrings.xml><?xml version="1.0" encoding="utf-8"?>
<sst xmlns="http://schemas.openxmlformats.org/spreadsheetml/2006/main" count="811" uniqueCount="195">
  <si>
    <t>arquivo_origem</t>
  </si>
  <si>
    <t>index</t>
  </si>
  <si>
    <t>Análise_Químico</t>
  </si>
  <si>
    <t>Ordem_de_Serviço</t>
  </si>
  <si>
    <t>Tipo_Coleta</t>
  </si>
  <si>
    <t>Estado_Coleta</t>
  </si>
  <si>
    <t>Réplica</t>
  </si>
  <si>
    <t>Talhão</t>
  </si>
  <si>
    <t>Zona_de_Manejo</t>
  </si>
  <si>
    <t>Ponto</t>
  </si>
  <si>
    <t>Profundidade</t>
  </si>
  <si>
    <t>Amostragem</t>
  </si>
  <si>
    <t>QR-Code</t>
  </si>
  <si>
    <t>SID</t>
  </si>
  <si>
    <t>Massa_(g)</t>
  </si>
  <si>
    <t>Massa_descontada_(g)</t>
  </si>
  <si>
    <t>Volume_coletado_(cm3)</t>
  </si>
  <si>
    <t>Densidade_(g/cm3)</t>
  </si>
  <si>
    <t>C_Quantitativo_(g/kg)</t>
  </si>
  <si>
    <t>OS_201_01_A1_001_AGMeasure_2025-12-05_17h.xlsx</t>
  </si>
  <si>
    <t>OS_201_01_A1_1_001</t>
  </si>
  <si>
    <t>T02</t>
  </si>
  <si>
    <t>00-20</t>
  </si>
  <si>
    <t>Carbono</t>
  </si>
  <si>
    <t>ASP25005302010167A11S250003</t>
  </si>
  <si>
    <t>20-40</t>
  </si>
  <si>
    <t>ASP25005302010167A11S250002</t>
  </si>
  <si>
    <t>40-60</t>
  </si>
  <si>
    <t>ASP25005302010167A11S250001</t>
  </si>
  <si>
    <t>Densidade</t>
  </si>
  <si>
    <t>ASP25005302010167A11S250006</t>
  </si>
  <si>
    <t>ASP25005302010167A11S250005</t>
  </si>
  <si>
    <t>ASP25005302010167A11S250004</t>
  </si>
  <si>
    <t>OS_201_01_A2_002_AGMeasure_2025-12-05_17h.xlsx</t>
  </si>
  <si>
    <t>OS_201_01_A2_1_002</t>
  </si>
  <si>
    <t>T03</t>
  </si>
  <si>
    <t>ASP25005302010167A21S250004</t>
  </si>
  <si>
    <t>ASP25005302010167A21S250005</t>
  </si>
  <si>
    <t>ASP25005302010167A21S250006</t>
  </si>
  <si>
    <t>ASP25005302010167A21S250011</t>
  </si>
  <si>
    <t>ASP25005302010167A21S250012</t>
  </si>
  <si>
    <t>ASP25005302010167A21S250013</t>
  </si>
  <si>
    <t>ASP25005302010167A21S250001</t>
  </si>
  <si>
    <t>ASP25005302010167A21S250002</t>
  </si>
  <si>
    <t>ASP25005302010167A21S250003</t>
  </si>
  <si>
    <t>ASP25005302010167A21S250008</t>
  </si>
  <si>
    <t>ASP25005302010167A21S250009</t>
  </si>
  <si>
    <t>ASP25005302010167A21S250010</t>
  </si>
  <si>
    <t>OS_201_01_A3_002_AGMeasure_2025-12-05_17h.xlsx</t>
  </si>
  <si>
    <t>OS_201_01_A3_1_002</t>
  </si>
  <si>
    <t>T04</t>
  </si>
  <si>
    <t>ASP25005302010167A31S250004</t>
  </si>
  <si>
    <t>ASP25005302010167A31S250005</t>
  </si>
  <si>
    <t>ASP25005302010167A31S250006</t>
  </si>
  <si>
    <t>ASP25005302010167A31S250010</t>
  </si>
  <si>
    <t>ASP25005302010167A31S250011</t>
  </si>
  <si>
    <t>ASP25005302010167A31S250012</t>
  </si>
  <si>
    <t>ASP25005302010167A31S250001</t>
  </si>
  <si>
    <t>ASP25005302010167A31S250002</t>
  </si>
  <si>
    <t>ASP25005302010167A31S250003</t>
  </si>
  <si>
    <t>ASP25005302010167A31S250007</t>
  </si>
  <si>
    <t>ASP25005302010167A31S250008</t>
  </si>
  <si>
    <t>ASP25005302010167A31S250009</t>
  </si>
  <si>
    <t>OS_201_01_A4_002_AGMeasure_2025-12-05_17h.xlsx</t>
  </si>
  <si>
    <t>OS_201_01_A4_1_002</t>
  </si>
  <si>
    <t>T05</t>
  </si>
  <si>
    <t>ASP25005302010167A41S250004</t>
  </si>
  <si>
    <t>ASP25005302010167A41S250005</t>
  </si>
  <si>
    <t>ASP25005302010167A41S250006</t>
  </si>
  <si>
    <t>ASP25005302010167A41S250010</t>
  </si>
  <si>
    <t>ASP25005302010167A41S250011</t>
  </si>
  <si>
    <t>ASP25005302010167A41S250012</t>
  </si>
  <si>
    <t>ASP25005302010167A41S250001</t>
  </si>
  <si>
    <t>ASP25005302010167A41S250002</t>
  </si>
  <si>
    <t>ASP25005302010167A41S250003</t>
  </si>
  <si>
    <t>ASP25005302010167A41S250007</t>
  </si>
  <si>
    <t>ASP25005302010167A41S250008</t>
  </si>
  <si>
    <t>ASP25005302010167A41S250009</t>
  </si>
  <si>
    <t>OS_201_01_A5_002_AGMeasure_2025-12-05_17h.xlsx</t>
  </si>
  <si>
    <t>OS_201_01_A5_1_002</t>
  </si>
  <si>
    <t>T06</t>
  </si>
  <si>
    <t>ASP25005302010167A51S250004</t>
  </si>
  <si>
    <t>ASP25005302010167A51S250005</t>
  </si>
  <si>
    <t>ASP25005302010167A51S250006</t>
  </si>
  <si>
    <t>ASP25005302010167A51S250010</t>
  </si>
  <si>
    <t>ASP25005302010167A51S250011</t>
  </si>
  <si>
    <t>ASP25005302010167A51S250012</t>
  </si>
  <si>
    <t>ASP25005302010167A51S250001</t>
  </si>
  <si>
    <t>ASP25005302010167A51S250002</t>
  </si>
  <si>
    <t>ASP25005302010167A51S250003</t>
  </si>
  <si>
    <t>ASP25005302010167A51S250007</t>
  </si>
  <si>
    <t>ASP25005302010167A51S250008</t>
  </si>
  <si>
    <t>ASP25005302010167A51S250009</t>
  </si>
  <si>
    <t>OS_201_01_A6_002_AGMeasure_2025-12-05_17h.xlsx</t>
  </si>
  <si>
    <t>OS_201_01_A6_1_002</t>
  </si>
  <si>
    <t>T07</t>
  </si>
  <si>
    <t>ASP25005302010167A61S250004</t>
  </si>
  <si>
    <t>ASP25005302010167A61S250005</t>
  </si>
  <si>
    <t>ASP25005302010167A61S250006</t>
  </si>
  <si>
    <t>ASP25005302010167A61S250010</t>
  </si>
  <si>
    <t>ASP25005302010167A61S250011</t>
  </si>
  <si>
    <t>ASP25005302010167A61S250012</t>
  </si>
  <si>
    <t>ASP25005302010167A61S250001</t>
  </si>
  <si>
    <t>ASP25005302010167A61S250002</t>
  </si>
  <si>
    <t>ASP25005302010167A61S250003</t>
  </si>
  <si>
    <t>ASP25005302010167A61S250007</t>
  </si>
  <si>
    <t>ASP25005302010167A61S250008</t>
  </si>
  <si>
    <t>ASP25005302010167A61S250009</t>
  </si>
  <si>
    <t>OS_201_01_A7_001_AGMeasure_2025-12-05_17h.xlsx</t>
  </si>
  <si>
    <t>OS_201_01_A7_1_001</t>
  </si>
  <si>
    <t>T18</t>
  </si>
  <si>
    <t>ASP25005302010167A71S250004</t>
  </si>
  <si>
    <t>ASP25005302010167A71S250005</t>
  </si>
  <si>
    <t>ASP25005302010167A71S250006</t>
  </si>
  <si>
    <t>ASP25005302010167A71S250001</t>
  </si>
  <si>
    <t>ASP25005302010167A71S250002</t>
  </si>
  <si>
    <t>ASP25005302010167A71S250003</t>
  </si>
  <si>
    <t>OS_201_01_A8_002_AGMeasure_2025-12-05_17h.xlsx</t>
  </si>
  <si>
    <t>OS_201_01_A8_1_002</t>
  </si>
  <si>
    <t>T17</t>
  </si>
  <si>
    <t>ASP25005302010167A81S250005</t>
  </si>
  <si>
    <t>ASP25005302010167A81S250006</t>
  </si>
  <si>
    <t>ASP25005302010167A81S250001</t>
  </si>
  <si>
    <t>ASP25005302010167A81S250010</t>
  </si>
  <si>
    <t>ASP25005302010167A81S250011</t>
  </si>
  <si>
    <t>ASP25005302010167A81S250012</t>
  </si>
  <si>
    <t>ASP25005302010167A81S250002</t>
  </si>
  <si>
    <t>ASP25005302010167A81S250003</t>
  </si>
  <si>
    <t>ASP25005302010167A81S250004</t>
  </si>
  <si>
    <t>ASP25005302010167A81S250007</t>
  </si>
  <si>
    <t>ASP25005302010167A81S250008</t>
  </si>
  <si>
    <t>ASP25005302010167A81S250009</t>
  </si>
  <si>
    <t>OS_201_01_A9_002_AGMeasure_2025-12-05_17h.xlsx</t>
  </si>
  <si>
    <t>OS_201_01_A9_1_002</t>
  </si>
  <si>
    <t>T16</t>
  </si>
  <si>
    <t>ASP25005302010167A91S250004</t>
  </si>
  <si>
    <t>ASP25005302010167A91S250005</t>
  </si>
  <si>
    <t>ASP25005302010167A91S250006</t>
  </si>
  <si>
    <t>ASP25005302010167A91S250010</t>
  </si>
  <si>
    <t>ASP25005302010167A91S250011</t>
  </si>
  <si>
    <t>ASP25005302010167A91S250012</t>
  </si>
  <si>
    <t>ASP25005302010167A91S250001</t>
  </si>
  <si>
    <t>ASP25005302010167A91S250002</t>
  </si>
  <si>
    <t>ASP25005302010167A91S250003</t>
  </si>
  <si>
    <t>ASP25005302010167A91S250007</t>
  </si>
  <si>
    <t>ASP25005302010167A91S250008</t>
  </si>
  <si>
    <t>ASP25005302010167A91S250009</t>
  </si>
  <si>
    <t>OS_201_01_B1_002_AGMeasure_2025-12-05_17h.xlsx</t>
  </si>
  <si>
    <t>OS_201_01_B1_1_002</t>
  </si>
  <si>
    <t>T15</t>
  </si>
  <si>
    <t>ASP25005302010167B11S250004</t>
  </si>
  <si>
    <t>ASP25005302010167B11S250005</t>
  </si>
  <si>
    <t>ASP25005302010167B11S250006</t>
  </si>
  <si>
    <t>ASP25005302010167B11S250010</t>
  </si>
  <si>
    <t>ASP25005302010167B11S250011</t>
  </si>
  <si>
    <t>ASP25005302010167B11S250012</t>
  </si>
  <si>
    <t>ASP25005302010167B11S250001</t>
  </si>
  <si>
    <t>ASP25005302010167B11S250002</t>
  </si>
  <si>
    <t>ASP25005302010167B11S250003</t>
  </si>
  <si>
    <t>ASP25005302010167B11S250007</t>
  </si>
  <si>
    <t>ASP25005302010167B11S250008</t>
  </si>
  <si>
    <t>ASP25005302010167B11S250009</t>
  </si>
  <si>
    <t>OS_201_01_B2_001_AGMeasure_2025-12-05_17h.xlsx</t>
  </si>
  <si>
    <t>OS_201_01_B2_1_001</t>
  </si>
  <si>
    <t>T14</t>
  </si>
  <si>
    <t>ASP25005302010167B21S250004</t>
  </si>
  <si>
    <t>ASP25005302010167B21S250005</t>
  </si>
  <si>
    <t>ASP25005302010167B21S250006</t>
  </si>
  <si>
    <t>ASP25005302010167B21S250001</t>
  </si>
  <si>
    <t>ASP25005302010167B21S250002</t>
  </si>
  <si>
    <t>ASP25005302010167B21S250003</t>
  </si>
  <si>
    <t>OS_201_01_B3_002_AGMeasure_2025-12-05_17h.xlsx</t>
  </si>
  <si>
    <t>OS_201_01_B3_1_002</t>
  </si>
  <si>
    <t>T10</t>
  </si>
  <si>
    <t>ASP25005302010167B31S250004</t>
  </si>
  <si>
    <t>ASP25005302010167B31S250005</t>
  </si>
  <si>
    <t>ASP25005302010167B31S250006</t>
  </si>
  <si>
    <t>ASP25005302010167B31S250010</t>
  </si>
  <si>
    <t>ASP25005302010167B31S250011</t>
  </si>
  <si>
    <t>ASP25005302010167B31S250012</t>
  </si>
  <si>
    <t>ASP25005302010167B31S250001</t>
  </si>
  <si>
    <t>ASP25005302010167B31S250002</t>
  </si>
  <si>
    <t>ASP25005302010167B31S250003</t>
  </si>
  <si>
    <t>ASP25005302010167B31S250007</t>
  </si>
  <si>
    <t>ASP25005302010167B31S250008</t>
  </si>
  <si>
    <t>ASP25005302010167B31S250009</t>
  </si>
  <si>
    <t>OS_201_01_B4_001_AGMeasure_2025-12-05_17h.xlsx</t>
  </si>
  <si>
    <t>OS_201_01_B4_1_001</t>
  </si>
  <si>
    <t>T08</t>
  </si>
  <si>
    <t>ASP25005302010167B41S250004</t>
  </si>
  <si>
    <t>ASP25005302010167B41S250005</t>
  </si>
  <si>
    <t>ASP25005302010167B41S250006</t>
  </si>
  <si>
    <t>ASP25005302010167B41S250001</t>
  </si>
  <si>
    <t>ASP25005302010167B41S250002</t>
  </si>
  <si>
    <t>ASP25005302010167B41S250003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</si>
</sst>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3"/>
  <sheetViews>
    <sheetView tabSelected="1" topLeftCell="C34" workbookViewId="0">
      <selection activeCell="J2" sqref="J2:J67"/>
    </sheetView>
  </sheetViews>
  <sheetFormatPr defaultRowHeight="15" x14ac:dyDescent="0.25"/>
  <cols>
    <col min="1" max="1" width="48.85546875" bestFit="1" customWidth="1"/>
    <col min="2" max="2" width="6" bestFit="1" customWidth="1"/>
    <col min="3" max="3" width="16.140625" bestFit="1" customWidth="1"/>
    <col min="4" max="4" width="20" bestFit="1" customWidth="1"/>
    <col min="5" max="5" width="11.5703125" bestFit="1" customWidth="1"/>
    <col min="6" max="6" width="13.7109375" bestFit="1" customWidth="1"/>
    <col min="7" max="7" width="7.42578125" bestFit="1" customWidth="1"/>
    <col min="8" max="8" width="6.85546875" bestFit="1" customWidth="1"/>
    <col min="9" max="9" width="16.5703125" bestFit="1" customWidth="1"/>
    <col min="10" max="10" width="6.28515625" bestFit="1" customWidth="1"/>
    <col min="11" max="11" width="13.28515625" bestFit="1" customWidth="1"/>
    <col min="12" max="12" width="12.28515625" bestFit="1" customWidth="1"/>
    <col min="13" max="13" width="29.28515625" bestFit="1" customWidth="1"/>
    <col min="14" max="14" width="3.85546875" bestFit="1" customWidth="1"/>
    <col min="15" max="15" width="10" bestFit="1" customWidth="1"/>
    <col min="16" max="16" width="21.5703125" bestFit="1" customWidth="1"/>
    <col min="17" max="17" width="23.140625" bestFit="1" customWidth="1"/>
    <col min="18" max="18" width="18.5703125" bestFit="1" customWidth="1"/>
    <col min="19" max="19" width="20.85546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>
        <v>0</v>
      </c>
      <c r="C2">
        <v>1</v>
      </c>
      <c r="D2" t="s">
        <v>20</v>
      </c>
      <c r="E2">
        <v>1</v>
      </c>
      <c r="F2">
        <v>2</v>
      </c>
      <c r="G2">
        <v>0</v>
      </c>
      <c r="H2" t="s">
        <v>21</v>
      </c>
      <c r="I2">
        <v>1</v>
      </c>
      <c r="J2">
        <v>1</v>
      </c>
      <c r="K2" t="s">
        <v>22</v>
      </c>
      <c r="L2" t="s">
        <v>23</v>
      </c>
      <c r="M2" t="s">
        <v>24</v>
      </c>
      <c r="N2">
        <v>1</v>
      </c>
      <c r="S2">
        <v>7.9699150609115197</v>
      </c>
    </row>
    <row r="3" spans="1:19" x14ac:dyDescent="0.25">
      <c r="A3" t="s">
        <v>19</v>
      </c>
      <c r="B3">
        <v>1</v>
      </c>
      <c r="C3">
        <v>1</v>
      </c>
      <c r="D3" t="s">
        <v>20</v>
      </c>
      <c r="E3">
        <v>1</v>
      </c>
      <c r="F3">
        <v>2</v>
      </c>
      <c r="G3">
        <v>0</v>
      </c>
      <c r="H3" t="s">
        <v>21</v>
      </c>
      <c r="I3">
        <v>1</v>
      </c>
      <c r="J3">
        <v>1</v>
      </c>
      <c r="K3" t="s">
        <v>25</v>
      </c>
      <c r="L3" t="s">
        <v>23</v>
      </c>
      <c r="M3" t="s">
        <v>26</v>
      </c>
      <c r="N3">
        <v>2</v>
      </c>
      <c r="S3">
        <v>6.4525444956170128</v>
      </c>
    </row>
    <row r="4" spans="1:19" x14ac:dyDescent="0.25">
      <c r="A4" t="s">
        <v>19</v>
      </c>
      <c r="B4">
        <v>2</v>
      </c>
      <c r="C4">
        <v>1</v>
      </c>
      <c r="D4" t="s">
        <v>20</v>
      </c>
      <c r="E4">
        <v>1</v>
      </c>
      <c r="F4">
        <v>2</v>
      </c>
      <c r="G4">
        <v>0</v>
      </c>
      <c r="H4" t="s">
        <v>21</v>
      </c>
      <c r="I4">
        <v>1</v>
      </c>
      <c r="J4">
        <v>1</v>
      </c>
      <c r="K4" t="s">
        <v>27</v>
      </c>
      <c r="L4" t="s">
        <v>23</v>
      </c>
      <c r="M4" t="s">
        <v>28</v>
      </c>
      <c r="N4">
        <v>3</v>
      </c>
      <c r="S4">
        <v>5.2256744791503813</v>
      </c>
    </row>
    <row r="5" spans="1:19" x14ac:dyDescent="0.25">
      <c r="A5" t="s">
        <v>33</v>
      </c>
      <c r="B5">
        <v>0</v>
      </c>
      <c r="C5">
        <v>1</v>
      </c>
      <c r="D5" t="s">
        <v>34</v>
      </c>
      <c r="E5">
        <v>1</v>
      </c>
      <c r="F5">
        <v>2</v>
      </c>
      <c r="G5">
        <v>0</v>
      </c>
      <c r="H5" t="s">
        <v>35</v>
      </c>
      <c r="I5">
        <v>1</v>
      </c>
      <c r="J5">
        <v>2</v>
      </c>
      <c r="K5" t="s">
        <v>22</v>
      </c>
      <c r="L5" t="s">
        <v>23</v>
      </c>
      <c r="M5" t="s">
        <v>36</v>
      </c>
      <c r="N5">
        <v>4</v>
      </c>
      <c r="S5">
        <v>5.4410666888001993</v>
      </c>
    </row>
    <row r="6" spans="1:19" x14ac:dyDescent="0.25">
      <c r="A6" t="s">
        <v>33</v>
      </c>
      <c r="B6">
        <v>1</v>
      </c>
      <c r="C6">
        <v>1</v>
      </c>
      <c r="D6" t="s">
        <v>34</v>
      </c>
      <c r="E6">
        <v>1</v>
      </c>
      <c r="F6">
        <v>2</v>
      </c>
      <c r="G6">
        <v>0</v>
      </c>
      <c r="H6" t="s">
        <v>35</v>
      </c>
      <c r="I6">
        <v>1</v>
      </c>
      <c r="J6">
        <v>2</v>
      </c>
      <c r="K6" t="s">
        <v>25</v>
      </c>
      <c r="L6" t="s">
        <v>23</v>
      </c>
      <c r="M6" t="s">
        <v>37</v>
      </c>
      <c r="N6">
        <v>5</v>
      </c>
      <c r="S6">
        <v>5.1305211317052137</v>
      </c>
    </row>
    <row r="7" spans="1:19" x14ac:dyDescent="0.25">
      <c r="A7" t="s">
        <v>33</v>
      </c>
      <c r="B7">
        <v>2</v>
      </c>
      <c r="C7">
        <v>1</v>
      </c>
      <c r="D7" t="s">
        <v>34</v>
      </c>
      <c r="E7">
        <v>1</v>
      </c>
      <c r="F7">
        <v>2</v>
      </c>
      <c r="G7">
        <v>0</v>
      </c>
      <c r="H7" t="s">
        <v>35</v>
      </c>
      <c r="I7">
        <v>1</v>
      </c>
      <c r="J7">
        <v>2</v>
      </c>
      <c r="K7" t="s">
        <v>27</v>
      </c>
      <c r="L7" t="s">
        <v>23</v>
      </c>
      <c r="M7" t="s">
        <v>38</v>
      </c>
      <c r="N7">
        <v>6</v>
      </c>
      <c r="S7">
        <v>5.0574609747609376</v>
      </c>
    </row>
    <row r="8" spans="1:19" x14ac:dyDescent="0.25">
      <c r="A8" t="s">
        <v>33</v>
      </c>
      <c r="B8">
        <v>3</v>
      </c>
      <c r="C8">
        <v>1</v>
      </c>
      <c r="D8" t="s">
        <v>34</v>
      </c>
      <c r="E8">
        <v>1</v>
      </c>
      <c r="F8">
        <v>2</v>
      </c>
      <c r="G8">
        <v>1</v>
      </c>
      <c r="H8" t="s">
        <v>35</v>
      </c>
      <c r="I8">
        <v>1</v>
      </c>
      <c r="J8">
        <v>3</v>
      </c>
      <c r="K8" t="s">
        <v>22</v>
      </c>
      <c r="L8" t="s">
        <v>23</v>
      </c>
      <c r="M8" t="s">
        <v>39</v>
      </c>
      <c r="N8">
        <v>7</v>
      </c>
      <c r="S8">
        <v>5.7708023953586451</v>
      </c>
    </row>
    <row r="9" spans="1:19" x14ac:dyDescent="0.25">
      <c r="A9" t="s">
        <v>33</v>
      </c>
      <c r="B9">
        <v>4</v>
      </c>
      <c r="C9">
        <v>1</v>
      </c>
      <c r="D9" t="s">
        <v>34</v>
      </c>
      <c r="E9">
        <v>1</v>
      </c>
      <c r="F9">
        <v>2</v>
      </c>
      <c r="G9">
        <v>1</v>
      </c>
      <c r="H9" t="s">
        <v>35</v>
      </c>
      <c r="I9">
        <v>1</v>
      </c>
      <c r="J9">
        <v>3</v>
      </c>
      <c r="K9" t="s">
        <v>25</v>
      </c>
      <c r="L9" t="s">
        <v>23</v>
      </c>
      <c r="M9" t="s">
        <v>40</v>
      </c>
      <c r="N9">
        <v>8</v>
      </c>
      <c r="S9">
        <v>5.265381328216181</v>
      </c>
    </row>
    <row r="10" spans="1:19" x14ac:dyDescent="0.25">
      <c r="A10" t="s">
        <v>33</v>
      </c>
      <c r="B10">
        <v>5</v>
      </c>
      <c r="C10">
        <v>1</v>
      </c>
      <c r="D10" t="s">
        <v>34</v>
      </c>
      <c r="E10">
        <v>1</v>
      </c>
      <c r="F10">
        <v>2</v>
      </c>
      <c r="G10">
        <v>1</v>
      </c>
      <c r="H10" t="s">
        <v>35</v>
      </c>
      <c r="I10">
        <v>1</v>
      </c>
      <c r="J10">
        <v>3</v>
      </c>
      <c r="K10" t="s">
        <v>27</v>
      </c>
      <c r="L10" t="s">
        <v>23</v>
      </c>
      <c r="M10" t="s">
        <v>41</v>
      </c>
      <c r="N10">
        <v>9</v>
      </c>
      <c r="S10">
        <v>4.8423701360132068</v>
      </c>
    </row>
    <row r="11" spans="1:19" x14ac:dyDescent="0.25">
      <c r="A11" t="s">
        <v>48</v>
      </c>
      <c r="B11">
        <v>0</v>
      </c>
      <c r="C11">
        <v>1</v>
      </c>
      <c r="D11" t="s">
        <v>49</v>
      </c>
      <c r="E11">
        <v>1</v>
      </c>
      <c r="F11">
        <v>2</v>
      </c>
      <c r="G11">
        <v>0</v>
      </c>
      <c r="H11" t="s">
        <v>50</v>
      </c>
      <c r="I11">
        <v>1</v>
      </c>
      <c r="J11">
        <v>4</v>
      </c>
      <c r="K11" t="s">
        <v>22</v>
      </c>
      <c r="L11" t="s">
        <v>23</v>
      </c>
      <c r="M11" t="s">
        <v>51</v>
      </c>
      <c r="N11">
        <v>10</v>
      </c>
      <c r="S11">
        <v>7.4565813485027501</v>
      </c>
    </row>
    <row r="12" spans="1:19" x14ac:dyDescent="0.25">
      <c r="A12" t="s">
        <v>48</v>
      </c>
      <c r="B12">
        <v>1</v>
      </c>
      <c r="C12">
        <v>1</v>
      </c>
      <c r="D12" t="s">
        <v>49</v>
      </c>
      <c r="E12">
        <v>1</v>
      </c>
      <c r="F12">
        <v>2</v>
      </c>
      <c r="G12">
        <v>0</v>
      </c>
      <c r="H12" t="s">
        <v>50</v>
      </c>
      <c r="I12">
        <v>1</v>
      </c>
      <c r="J12">
        <v>4</v>
      </c>
      <c r="K12" t="s">
        <v>25</v>
      </c>
      <c r="L12" t="s">
        <v>23</v>
      </c>
      <c r="M12" t="s">
        <v>52</v>
      </c>
      <c r="N12">
        <v>11</v>
      </c>
      <c r="S12">
        <v>6.4338478464207833</v>
      </c>
    </row>
    <row r="13" spans="1:19" x14ac:dyDescent="0.25">
      <c r="A13" t="s">
        <v>48</v>
      </c>
      <c r="B13">
        <v>2</v>
      </c>
      <c r="C13">
        <v>1</v>
      </c>
      <c r="D13" t="s">
        <v>49</v>
      </c>
      <c r="E13">
        <v>1</v>
      </c>
      <c r="F13">
        <v>2</v>
      </c>
      <c r="G13">
        <v>0</v>
      </c>
      <c r="H13" t="s">
        <v>50</v>
      </c>
      <c r="I13">
        <v>1</v>
      </c>
      <c r="J13">
        <v>4</v>
      </c>
      <c r="K13" t="s">
        <v>27</v>
      </c>
      <c r="L13" t="s">
        <v>23</v>
      </c>
      <c r="M13" t="s">
        <v>53</v>
      </c>
      <c r="N13">
        <v>12</v>
      </c>
      <c r="S13">
        <v>5.6726434574035718</v>
      </c>
    </row>
    <row r="14" spans="1:19" x14ac:dyDescent="0.25">
      <c r="A14" t="s">
        <v>48</v>
      </c>
      <c r="B14">
        <v>3</v>
      </c>
      <c r="C14">
        <v>1</v>
      </c>
      <c r="D14" t="s">
        <v>49</v>
      </c>
      <c r="E14">
        <v>1</v>
      </c>
      <c r="F14">
        <v>2</v>
      </c>
      <c r="G14">
        <v>0</v>
      </c>
      <c r="H14" t="s">
        <v>50</v>
      </c>
      <c r="I14">
        <v>1</v>
      </c>
      <c r="J14">
        <v>5</v>
      </c>
      <c r="K14" t="s">
        <v>22</v>
      </c>
      <c r="L14" t="s">
        <v>23</v>
      </c>
      <c r="M14" t="s">
        <v>54</v>
      </c>
      <c r="N14">
        <v>13</v>
      </c>
      <c r="S14">
        <v>7.2803715715041237</v>
      </c>
    </row>
    <row r="15" spans="1:19" x14ac:dyDescent="0.25">
      <c r="A15" t="s">
        <v>48</v>
      </c>
      <c r="B15">
        <v>4</v>
      </c>
      <c r="C15">
        <v>1</v>
      </c>
      <c r="D15" t="s">
        <v>49</v>
      </c>
      <c r="E15">
        <v>1</v>
      </c>
      <c r="F15">
        <v>2</v>
      </c>
      <c r="G15">
        <v>0</v>
      </c>
      <c r="H15" t="s">
        <v>50</v>
      </c>
      <c r="I15">
        <v>1</v>
      </c>
      <c r="J15">
        <v>5</v>
      </c>
      <c r="K15" t="s">
        <v>25</v>
      </c>
      <c r="L15" t="s">
        <v>23</v>
      </c>
      <c r="M15" t="s">
        <v>55</v>
      </c>
      <c r="N15">
        <v>14</v>
      </c>
      <c r="S15">
        <v>7.0186847131355341</v>
      </c>
    </row>
    <row r="16" spans="1:19" x14ac:dyDescent="0.25">
      <c r="A16" t="s">
        <v>48</v>
      </c>
      <c r="B16">
        <v>5</v>
      </c>
      <c r="C16">
        <v>1</v>
      </c>
      <c r="D16" t="s">
        <v>49</v>
      </c>
      <c r="E16">
        <v>1</v>
      </c>
      <c r="F16">
        <v>2</v>
      </c>
      <c r="G16">
        <v>0</v>
      </c>
      <c r="H16" t="s">
        <v>50</v>
      </c>
      <c r="I16">
        <v>1</v>
      </c>
      <c r="J16">
        <v>5</v>
      </c>
      <c r="K16" t="s">
        <v>27</v>
      </c>
      <c r="L16" t="s">
        <v>23</v>
      </c>
      <c r="M16" t="s">
        <v>56</v>
      </c>
      <c r="N16">
        <v>15</v>
      </c>
      <c r="S16">
        <v>5.9402325179267468</v>
      </c>
    </row>
    <row r="17" spans="1:19" x14ac:dyDescent="0.25">
      <c r="A17" t="s">
        <v>63</v>
      </c>
      <c r="B17">
        <v>0</v>
      </c>
      <c r="C17">
        <v>1</v>
      </c>
      <c r="D17" t="s">
        <v>64</v>
      </c>
      <c r="E17">
        <v>1</v>
      </c>
      <c r="F17">
        <v>2</v>
      </c>
      <c r="G17">
        <v>0</v>
      </c>
      <c r="H17" t="s">
        <v>65</v>
      </c>
      <c r="I17">
        <v>1</v>
      </c>
      <c r="J17">
        <v>6</v>
      </c>
      <c r="K17" t="s">
        <v>22</v>
      </c>
      <c r="L17" t="s">
        <v>23</v>
      </c>
      <c r="M17" t="s">
        <v>66</v>
      </c>
      <c r="N17">
        <v>16</v>
      </c>
      <c r="S17">
        <v>8.2312444360313926</v>
      </c>
    </row>
    <row r="18" spans="1:19" x14ac:dyDescent="0.25">
      <c r="A18" t="s">
        <v>63</v>
      </c>
      <c r="B18">
        <v>1</v>
      </c>
      <c r="C18">
        <v>1</v>
      </c>
      <c r="D18" t="s">
        <v>64</v>
      </c>
      <c r="E18">
        <v>1</v>
      </c>
      <c r="F18">
        <v>2</v>
      </c>
      <c r="G18">
        <v>0</v>
      </c>
      <c r="H18" t="s">
        <v>65</v>
      </c>
      <c r="I18">
        <v>1</v>
      </c>
      <c r="J18">
        <v>6</v>
      </c>
      <c r="K18" t="s">
        <v>25</v>
      </c>
      <c r="L18" t="s">
        <v>23</v>
      </c>
      <c r="M18" t="s">
        <v>67</v>
      </c>
      <c r="N18">
        <v>17</v>
      </c>
      <c r="S18">
        <v>7.1820272815820996</v>
      </c>
    </row>
    <row r="19" spans="1:19" x14ac:dyDescent="0.25">
      <c r="A19" t="s">
        <v>63</v>
      </c>
      <c r="B19">
        <v>2</v>
      </c>
      <c r="C19">
        <v>1</v>
      </c>
      <c r="D19" t="s">
        <v>64</v>
      </c>
      <c r="E19">
        <v>1</v>
      </c>
      <c r="F19">
        <v>2</v>
      </c>
      <c r="G19">
        <v>0</v>
      </c>
      <c r="H19" t="s">
        <v>65</v>
      </c>
      <c r="I19">
        <v>1</v>
      </c>
      <c r="J19">
        <v>6</v>
      </c>
      <c r="K19" t="s">
        <v>27</v>
      </c>
      <c r="L19" t="s">
        <v>23</v>
      </c>
      <c r="M19" t="s">
        <v>68</v>
      </c>
      <c r="N19">
        <v>18</v>
      </c>
      <c r="S19">
        <v>6.9679650646755684</v>
      </c>
    </row>
    <row r="20" spans="1:19" x14ac:dyDescent="0.25">
      <c r="A20" t="s">
        <v>63</v>
      </c>
      <c r="B20">
        <v>3</v>
      </c>
      <c r="C20">
        <v>1</v>
      </c>
      <c r="D20" t="s">
        <v>64</v>
      </c>
      <c r="E20">
        <v>1</v>
      </c>
      <c r="F20">
        <v>2</v>
      </c>
      <c r="G20">
        <v>0</v>
      </c>
      <c r="H20" t="s">
        <v>65</v>
      </c>
      <c r="I20">
        <v>1</v>
      </c>
      <c r="J20">
        <v>7</v>
      </c>
      <c r="K20" t="s">
        <v>22</v>
      </c>
      <c r="L20" t="s">
        <v>23</v>
      </c>
      <c r="M20" t="s">
        <v>69</v>
      </c>
      <c r="N20">
        <v>19</v>
      </c>
      <c r="S20">
        <v>8.854289518449038</v>
      </c>
    </row>
    <row r="21" spans="1:19" x14ac:dyDescent="0.25">
      <c r="A21" t="s">
        <v>63</v>
      </c>
      <c r="B21">
        <v>4</v>
      </c>
      <c r="C21">
        <v>1</v>
      </c>
      <c r="D21" t="s">
        <v>64</v>
      </c>
      <c r="E21">
        <v>1</v>
      </c>
      <c r="F21">
        <v>2</v>
      </c>
      <c r="G21">
        <v>0</v>
      </c>
      <c r="H21" t="s">
        <v>65</v>
      </c>
      <c r="I21">
        <v>1</v>
      </c>
      <c r="J21">
        <v>7</v>
      </c>
      <c r="K21" t="s">
        <v>25</v>
      </c>
      <c r="L21" t="s">
        <v>23</v>
      </c>
      <c r="M21" t="s">
        <v>70</v>
      </c>
      <c r="N21">
        <v>20</v>
      </c>
      <c r="S21">
        <v>7.1141453159929924</v>
      </c>
    </row>
    <row r="22" spans="1:19" x14ac:dyDescent="0.25">
      <c r="A22" t="s">
        <v>63</v>
      </c>
      <c r="B22">
        <v>5</v>
      </c>
      <c r="C22">
        <v>1</v>
      </c>
      <c r="D22" t="s">
        <v>64</v>
      </c>
      <c r="E22">
        <v>1</v>
      </c>
      <c r="F22">
        <v>2</v>
      </c>
      <c r="G22">
        <v>0</v>
      </c>
      <c r="H22" t="s">
        <v>65</v>
      </c>
      <c r="I22">
        <v>1</v>
      </c>
      <c r="J22">
        <v>7</v>
      </c>
      <c r="K22" t="s">
        <v>27</v>
      </c>
      <c r="L22" t="s">
        <v>23</v>
      </c>
      <c r="M22" t="s">
        <v>71</v>
      </c>
      <c r="N22">
        <v>21</v>
      </c>
      <c r="S22">
        <v>6.6691064633512473</v>
      </c>
    </row>
    <row r="23" spans="1:19" x14ac:dyDescent="0.25">
      <c r="A23" t="s">
        <v>78</v>
      </c>
      <c r="B23">
        <v>0</v>
      </c>
      <c r="C23">
        <v>1</v>
      </c>
      <c r="D23" t="s">
        <v>79</v>
      </c>
      <c r="E23">
        <v>1</v>
      </c>
      <c r="F23">
        <v>2</v>
      </c>
      <c r="G23">
        <v>0</v>
      </c>
      <c r="H23" t="s">
        <v>80</v>
      </c>
      <c r="I23">
        <v>1</v>
      </c>
      <c r="J23">
        <v>8</v>
      </c>
      <c r="K23" t="s">
        <v>22</v>
      </c>
      <c r="L23" t="s">
        <v>23</v>
      </c>
      <c r="M23" t="s">
        <v>81</v>
      </c>
      <c r="N23">
        <v>22</v>
      </c>
      <c r="S23">
        <v>8.0832609347870719</v>
      </c>
    </row>
    <row r="24" spans="1:19" x14ac:dyDescent="0.25">
      <c r="A24" t="s">
        <v>78</v>
      </c>
      <c r="B24">
        <v>1</v>
      </c>
      <c r="C24">
        <v>1</v>
      </c>
      <c r="D24" t="s">
        <v>79</v>
      </c>
      <c r="E24">
        <v>1</v>
      </c>
      <c r="F24">
        <v>2</v>
      </c>
      <c r="G24">
        <v>0</v>
      </c>
      <c r="H24" t="s">
        <v>80</v>
      </c>
      <c r="I24">
        <v>1</v>
      </c>
      <c r="J24">
        <v>8</v>
      </c>
      <c r="K24" t="s">
        <v>25</v>
      </c>
      <c r="L24" t="s">
        <v>23</v>
      </c>
      <c r="M24" t="s">
        <v>82</v>
      </c>
      <c r="N24">
        <v>23</v>
      </c>
      <c r="S24">
        <v>6.5435223610443627</v>
      </c>
    </row>
    <row r="25" spans="1:19" x14ac:dyDescent="0.25">
      <c r="A25" t="s">
        <v>78</v>
      </c>
      <c r="B25">
        <v>2</v>
      </c>
      <c r="C25">
        <v>1</v>
      </c>
      <c r="D25" t="s">
        <v>79</v>
      </c>
      <c r="E25">
        <v>1</v>
      </c>
      <c r="F25">
        <v>2</v>
      </c>
      <c r="G25">
        <v>0</v>
      </c>
      <c r="H25" t="s">
        <v>80</v>
      </c>
      <c r="I25">
        <v>1</v>
      </c>
      <c r="J25">
        <v>8</v>
      </c>
      <c r="K25" t="s">
        <v>27</v>
      </c>
      <c r="L25" t="s">
        <v>23</v>
      </c>
      <c r="M25" t="s">
        <v>83</v>
      </c>
      <c r="N25">
        <v>24</v>
      </c>
      <c r="S25">
        <v>6.0448850866299946</v>
      </c>
    </row>
    <row r="26" spans="1:19" x14ac:dyDescent="0.25">
      <c r="A26" t="s">
        <v>78</v>
      </c>
      <c r="B26">
        <v>3</v>
      </c>
      <c r="C26">
        <v>1</v>
      </c>
      <c r="D26" t="s">
        <v>79</v>
      </c>
      <c r="E26">
        <v>1</v>
      </c>
      <c r="F26">
        <v>2</v>
      </c>
      <c r="G26">
        <v>0</v>
      </c>
      <c r="H26" t="s">
        <v>80</v>
      </c>
      <c r="I26">
        <v>1</v>
      </c>
      <c r="J26">
        <v>9</v>
      </c>
      <c r="K26" t="s">
        <v>22</v>
      </c>
      <c r="L26" t="s">
        <v>23</v>
      </c>
      <c r="M26" t="s">
        <v>84</v>
      </c>
      <c r="N26">
        <v>25</v>
      </c>
      <c r="S26">
        <v>8.2674086334764567</v>
      </c>
    </row>
    <row r="27" spans="1:19" x14ac:dyDescent="0.25">
      <c r="A27" t="s">
        <v>78</v>
      </c>
      <c r="B27">
        <v>4</v>
      </c>
      <c r="C27">
        <v>1</v>
      </c>
      <c r="D27" t="s">
        <v>79</v>
      </c>
      <c r="E27">
        <v>1</v>
      </c>
      <c r="F27">
        <v>2</v>
      </c>
      <c r="G27">
        <v>0</v>
      </c>
      <c r="H27" t="s">
        <v>80</v>
      </c>
      <c r="I27">
        <v>1</v>
      </c>
      <c r="J27">
        <v>9</v>
      </c>
      <c r="K27" t="s">
        <v>25</v>
      </c>
      <c r="L27" t="s">
        <v>23</v>
      </c>
      <c r="M27" t="s">
        <v>85</v>
      </c>
      <c r="N27">
        <v>26</v>
      </c>
      <c r="S27">
        <v>7.9167059644503706</v>
      </c>
    </row>
    <row r="28" spans="1:19" x14ac:dyDescent="0.25">
      <c r="A28" t="s">
        <v>78</v>
      </c>
      <c r="B28">
        <v>5</v>
      </c>
      <c r="C28">
        <v>1</v>
      </c>
      <c r="D28" t="s">
        <v>79</v>
      </c>
      <c r="E28">
        <v>1</v>
      </c>
      <c r="F28">
        <v>2</v>
      </c>
      <c r="G28">
        <v>0</v>
      </c>
      <c r="H28" t="s">
        <v>80</v>
      </c>
      <c r="I28">
        <v>1</v>
      </c>
      <c r="J28">
        <v>9</v>
      </c>
      <c r="K28" t="s">
        <v>27</v>
      </c>
      <c r="L28" t="s">
        <v>23</v>
      </c>
      <c r="M28" t="s">
        <v>86</v>
      </c>
      <c r="N28">
        <v>27</v>
      </c>
      <c r="S28">
        <v>6.4448364963617291</v>
      </c>
    </row>
    <row r="29" spans="1:19" x14ac:dyDescent="0.25">
      <c r="A29" t="s">
        <v>93</v>
      </c>
      <c r="B29">
        <v>0</v>
      </c>
      <c r="C29">
        <v>1</v>
      </c>
      <c r="D29" t="s">
        <v>94</v>
      </c>
      <c r="E29">
        <v>1</v>
      </c>
      <c r="F29">
        <v>2</v>
      </c>
      <c r="G29">
        <v>1</v>
      </c>
      <c r="H29" t="s">
        <v>95</v>
      </c>
      <c r="I29">
        <v>1</v>
      </c>
      <c r="J29">
        <v>10</v>
      </c>
      <c r="K29" t="s">
        <v>22</v>
      </c>
      <c r="L29" t="s">
        <v>23</v>
      </c>
      <c r="M29" t="s">
        <v>96</v>
      </c>
      <c r="N29">
        <v>28</v>
      </c>
      <c r="S29">
        <v>7.3725166482272684</v>
      </c>
    </row>
    <row r="30" spans="1:19" x14ac:dyDescent="0.25">
      <c r="A30" t="s">
        <v>93</v>
      </c>
      <c r="B30">
        <v>1</v>
      </c>
      <c r="C30">
        <v>1</v>
      </c>
      <c r="D30" t="s">
        <v>94</v>
      </c>
      <c r="E30">
        <v>1</v>
      </c>
      <c r="F30">
        <v>2</v>
      </c>
      <c r="G30">
        <v>1</v>
      </c>
      <c r="H30" t="s">
        <v>95</v>
      </c>
      <c r="I30">
        <v>1</v>
      </c>
      <c r="J30">
        <v>10</v>
      </c>
      <c r="K30" t="s">
        <v>25</v>
      </c>
      <c r="L30" t="s">
        <v>23</v>
      </c>
      <c r="M30" t="s">
        <v>97</v>
      </c>
      <c r="N30">
        <v>29</v>
      </c>
      <c r="S30">
        <v>7.19692608651859</v>
      </c>
    </row>
    <row r="31" spans="1:19" x14ac:dyDescent="0.25">
      <c r="A31" t="s">
        <v>93</v>
      </c>
      <c r="B31">
        <v>2</v>
      </c>
      <c r="C31">
        <v>1</v>
      </c>
      <c r="D31" t="s">
        <v>94</v>
      </c>
      <c r="E31">
        <v>1</v>
      </c>
      <c r="F31">
        <v>2</v>
      </c>
      <c r="G31">
        <v>1</v>
      </c>
      <c r="H31" t="s">
        <v>95</v>
      </c>
      <c r="I31">
        <v>1</v>
      </c>
      <c r="J31">
        <v>10</v>
      </c>
      <c r="K31" t="s">
        <v>27</v>
      </c>
      <c r="L31" t="s">
        <v>23</v>
      </c>
      <c r="M31" t="s">
        <v>98</v>
      </c>
      <c r="N31">
        <v>30</v>
      </c>
      <c r="S31">
        <v>6.8734431663098379</v>
      </c>
    </row>
    <row r="32" spans="1:19" x14ac:dyDescent="0.25">
      <c r="A32" t="s">
        <v>93</v>
      </c>
      <c r="B32">
        <v>3</v>
      </c>
      <c r="C32">
        <v>1</v>
      </c>
      <c r="D32" t="s">
        <v>94</v>
      </c>
      <c r="E32">
        <v>1</v>
      </c>
      <c r="F32">
        <v>2</v>
      </c>
      <c r="G32">
        <v>0</v>
      </c>
      <c r="H32" t="s">
        <v>95</v>
      </c>
      <c r="I32">
        <v>1</v>
      </c>
      <c r="J32">
        <v>11</v>
      </c>
      <c r="K32" t="s">
        <v>22</v>
      </c>
      <c r="L32" t="s">
        <v>23</v>
      </c>
      <c r="M32" t="s">
        <v>99</v>
      </c>
      <c r="N32">
        <v>31</v>
      </c>
      <c r="S32">
        <v>6.7815591525236716</v>
      </c>
    </row>
    <row r="33" spans="1:19" x14ac:dyDescent="0.25">
      <c r="A33" t="s">
        <v>93</v>
      </c>
      <c r="B33">
        <v>4</v>
      </c>
      <c r="C33">
        <v>1</v>
      </c>
      <c r="D33" t="s">
        <v>94</v>
      </c>
      <c r="E33">
        <v>1</v>
      </c>
      <c r="F33">
        <v>2</v>
      </c>
      <c r="G33">
        <v>0</v>
      </c>
      <c r="H33" t="s">
        <v>95</v>
      </c>
      <c r="I33">
        <v>1</v>
      </c>
      <c r="J33">
        <v>11</v>
      </c>
      <c r="K33" t="s">
        <v>25</v>
      </c>
      <c r="L33" t="s">
        <v>23</v>
      </c>
      <c r="M33" t="s">
        <v>100</v>
      </c>
      <c r="N33">
        <v>32</v>
      </c>
      <c r="S33">
        <v>6.3033788201650403</v>
      </c>
    </row>
    <row r="34" spans="1:19" x14ac:dyDescent="0.25">
      <c r="A34" t="s">
        <v>93</v>
      </c>
      <c r="B34">
        <v>5</v>
      </c>
      <c r="C34">
        <v>1</v>
      </c>
      <c r="D34" t="s">
        <v>94</v>
      </c>
      <c r="E34">
        <v>1</v>
      </c>
      <c r="F34">
        <v>2</v>
      </c>
      <c r="G34">
        <v>0</v>
      </c>
      <c r="H34" t="s">
        <v>95</v>
      </c>
      <c r="I34">
        <v>1</v>
      </c>
      <c r="J34">
        <v>11</v>
      </c>
      <c r="K34" t="s">
        <v>27</v>
      </c>
      <c r="L34" t="s">
        <v>23</v>
      </c>
      <c r="M34" t="s">
        <v>101</v>
      </c>
      <c r="N34">
        <v>33</v>
      </c>
      <c r="S34">
        <v>5.6294978286143014</v>
      </c>
    </row>
    <row r="35" spans="1:19" x14ac:dyDescent="0.25">
      <c r="A35" t="s">
        <v>108</v>
      </c>
      <c r="B35">
        <v>0</v>
      </c>
      <c r="C35">
        <v>1</v>
      </c>
      <c r="D35" t="s">
        <v>109</v>
      </c>
      <c r="E35">
        <v>1</v>
      </c>
      <c r="F35">
        <v>2</v>
      </c>
      <c r="G35">
        <v>0</v>
      </c>
      <c r="H35" t="s">
        <v>110</v>
      </c>
      <c r="I35">
        <v>1</v>
      </c>
      <c r="J35">
        <v>12</v>
      </c>
      <c r="K35" t="s">
        <v>22</v>
      </c>
      <c r="L35" t="s">
        <v>23</v>
      </c>
      <c r="M35" t="s">
        <v>111</v>
      </c>
      <c r="N35">
        <v>34</v>
      </c>
      <c r="S35">
        <v>9.0297961081927678</v>
      </c>
    </row>
    <row r="36" spans="1:19" x14ac:dyDescent="0.25">
      <c r="A36" t="s">
        <v>108</v>
      </c>
      <c r="B36">
        <v>1</v>
      </c>
      <c r="C36">
        <v>1</v>
      </c>
      <c r="D36" t="s">
        <v>109</v>
      </c>
      <c r="E36">
        <v>1</v>
      </c>
      <c r="F36">
        <v>2</v>
      </c>
      <c r="G36">
        <v>0</v>
      </c>
      <c r="H36" t="s">
        <v>110</v>
      </c>
      <c r="I36">
        <v>1</v>
      </c>
      <c r="J36">
        <v>12</v>
      </c>
      <c r="K36" t="s">
        <v>25</v>
      </c>
      <c r="L36" t="s">
        <v>23</v>
      </c>
      <c r="M36" t="s">
        <v>112</v>
      </c>
      <c r="N36">
        <v>35</v>
      </c>
      <c r="S36">
        <v>7.7947043183579119</v>
      </c>
    </row>
    <row r="37" spans="1:19" x14ac:dyDescent="0.25">
      <c r="A37" t="s">
        <v>108</v>
      </c>
      <c r="B37">
        <v>2</v>
      </c>
      <c r="C37">
        <v>1</v>
      </c>
      <c r="D37" t="s">
        <v>109</v>
      </c>
      <c r="E37">
        <v>1</v>
      </c>
      <c r="F37">
        <v>2</v>
      </c>
      <c r="G37">
        <v>0</v>
      </c>
      <c r="H37" t="s">
        <v>110</v>
      </c>
      <c r="I37">
        <v>1</v>
      </c>
      <c r="J37">
        <v>12</v>
      </c>
      <c r="K37" t="s">
        <v>27</v>
      </c>
      <c r="L37" t="s">
        <v>23</v>
      </c>
      <c r="M37" t="s">
        <v>113</v>
      </c>
      <c r="N37">
        <v>36</v>
      </c>
      <c r="S37">
        <v>6.8863379290114217</v>
      </c>
    </row>
    <row r="38" spans="1:19" x14ac:dyDescent="0.25">
      <c r="A38" t="s">
        <v>117</v>
      </c>
      <c r="B38">
        <v>0</v>
      </c>
      <c r="C38">
        <v>1</v>
      </c>
      <c r="D38" t="s">
        <v>118</v>
      </c>
      <c r="E38">
        <v>1</v>
      </c>
      <c r="F38">
        <v>2</v>
      </c>
      <c r="G38">
        <v>0</v>
      </c>
      <c r="H38" t="s">
        <v>119</v>
      </c>
      <c r="I38">
        <v>1</v>
      </c>
      <c r="J38">
        <v>13</v>
      </c>
      <c r="K38" t="s">
        <v>22</v>
      </c>
      <c r="L38" t="s">
        <v>23</v>
      </c>
      <c r="M38" t="s">
        <v>120</v>
      </c>
      <c r="N38">
        <v>37</v>
      </c>
      <c r="S38">
        <v>7.7663034570295935</v>
      </c>
    </row>
    <row r="39" spans="1:19" x14ac:dyDescent="0.25">
      <c r="A39" t="s">
        <v>117</v>
      </c>
      <c r="B39">
        <v>1</v>
      </c>
      <c r="C39">
        <v>1</v>
      </c>
      <c r="D39" t="s">
        <v>118</v>
      </c>
      <c r="E39">
        <v>1</v>
      </c>
      <c r="F39">
        <v>2</v>
      </c>
      <c r="G39">
        <v>0</v>
      </c>
      <c r="H39" t="s">
        <v>119</v>
      </c>
      <c r="I39">
        <v>1</v>
      </c>
      <c r="J39">
        <v>13</v>
      </c>
      <c r="K39" t="s">
        <v>25</v>
      </c>
      <c r="L39" t="s">
        <v>23</v>
      </c>
      <c r="M39" t="s">
        <v>121</v>
      </c>
      <c r="N39">
        <v>38</v>
      </c>
      <c r="S39">
        <v>6.6215662928429584</v>
      </c>
    </row>
    <row r="40" spans="1:19" x14ac:dyDescent="0.25">
      <c r="A40" t="s">
        <v>117</v>
      </c>
      <c r="B40">
        <v>2</v>
      </c>
      <c r="C40">
        <v>1</v>
      </c>
      <c r="D40" t="s">
        <v>118</v>
      </c>
      <c r="E40">
        <v>1</v>
      </c>
      <c r="F40">
        <v>2</v>
      </c>
      <c r="G40">
        <v>0</v>
      </c>
      <c r="H40" t="s">
        <v>119</v>
      </c>
      <c r="I40">
        <v>1</v>
      </c>
      <c r="J40">
        <v>13</v>
      </c>
      <c r="K40" t="s">
        <v>27</v>
      </c>
      <c r="L40" t="s">
        <v>23</v>
      </c>
      <c r="M40" t="s">
        <v>122</v>
      </c>
      <c r="N40">
        <v>39</v>
      </c>
      <c r="S40">
        <v>6.5642736091572216</v>
      </c>
    </row>
    <row r="41" spans="1:19" x14ac:dyDescent="0.25">
      <c r="A41" t="s">
        <v>117</v>
      </c>
      <c r="B41">
        <v>3</v>
      </c>
      <c r="C41">
        <v>1</v>
      </c>
      <c r="D41" t="s">
        <v>118</v>
      </c>
      <c r="E41">
        <v>1</v>
      </c>
      <c r="F41">
        <v>2</v>
      </c>
      <c r="G41">
        <v>0</v>
      </c>
      <c r="H41" t="s">
        <v>119</v>
      </c>
      <c r="I41">
        <v>1</v>
      </c>
      <c r="J41">
        <v>14</v>
      </c>
      <c r="K41" t="s">
        <v>22</v>
      </c>
      <c r="L41" t="s">
        <v>23</v>
      </c>
      <c r="M41" t="s">
        <v>123</v>
      </c>
      <c r="N41">
        <v>40</v>
      </c>
      <c r="S41">
        <v>8.1006216483949078</v>
      </c>
    </row>
    <row r="42" spans="1:19" x14ac:dyDescent="0.25">
      <c r="A42" t="s">
        <v>117</v>
      </c>
      <c r="B42">
        <v>4</v>
      </c>
      <c r="C42">
        <v>1</v>
      </c>
      <c r="D42" t="s">
        <v>118</v>
      </c>
      <c r="E42">
        <v>1</v>
      </c>
      <c r="F42">
        <v>2</v>
      </c>
      <c r="G42">
        <v>0</v>
      </c>
      <c r="H42" t="s">
        <v>119</v>
      </c>
      <c r="I42">
        <v>1</v>
      </c>
      <c r="J42">
        <v>14</v>
      </c>
      <c r="K42" t="s">
        <v>25</v>
      </c>
      <c r="L42" t="s">
        <v>23</v>
      </c>
      <c r="M42" t="s">
        <v>124</v>
      </c>
      <c r="N42">
        <v>41</v>
      </c>
      <c r="S42">
        <v>7.0092416589118622</v>
      </c>
    </row>
    <row r="43" spans="1:19" x14ac:dyDescent="0.25">
      <c r="A43" t="s">
        <v>117</v>
      </c>
      <c r="B43">
        <v>5</v>
      </c>
      <c r="C43">
        <v>1</v>
      </c>
      <c r="D43" t="s">
        <v>118</v>
      </c>
      <c r="E43">
        <v>1</v>
      </c>
      <c r="F43">
        <v>2</v>
      </c>
      <c r="G43">
        <v>0</v>
      </c>
      <c r="H43" t="s">
        <v>119</v>
      </c>
      <c r="I43">
        <v>1</v>
      </c>
      <c r="J43">
        <v>14</v>
      </c>
      <c r="K43" t="s">
        <v>27</v>
      </c>
      <c r="L43" t="s">
        <v>23</v>
      </c>
      <c r="M43" t="s">
        <v>125</v>
      </c>
      <c r="N43">
        <v>42</v>
      </c>
      <c r="S43">
        <v>6.083634057438509</v>
      </c>
    </row>
    <row r="44" spans="1:19" x14ac:dyDescent="0.25">
      <c r="A44" t="s">
        <v>132</v>
      </c>
      <c r="B44">
        <v>0</v>
      </c>
      <c r="C44">
        <v>1</v>
      </c>
      <c r="D44" t="s">
        <v>133</v>
      </c>
      <c r="E44">
        <v>1</v>
      </c>
      <c r="F44">
        <v>2</v>
      </c>
      <c r="G44">
        <v>1</v>
      </c>
      <c r="H44" t="s">
        <v>134</v>
      </c>
      <c r="I44">
        <v>1</v>
      </c>
      <c r="J44">
        <v>15</v>
      </c>
      <c r="K44" t="s">
        <v>22</v>
      </c>
      <c r="L44" t="s">
        <v>23</v>
      </c>
      <c r="M44" t="s">
        <v>135</v>
      </c>
      <c r="N44">
        <v>43</v>
      </c>
      <c r="S44">
        <v>8.2531279569839846</v>
      </c>
    </row>
    <row r="45" spans="1:19" x14ac:dyDescent="0.25">
      <c r="A45" t="s">
        <v>132</v>
      </c>
      <c r="B45">
        <v>1</v>
      </c>
      <c r="C45">
        <v>1</v>
      </c>
      <c r="D45" t="s">
        <v>133</v>
      </c>
      <c r="E45">
        <v>1</v>
      </c>
      <c r="F45">
        <v>2</v>
      </c>
      <c r="G45">
        <v>1</v>
      </c>
      <c r="H45" t="s">
        <v>134</v>
      </c>
      <c r="I45">
        <v>1</v>
      </c>
      <c r="J45">
        <v>15</v>
      </c>
      <c r="K45" t="s">
        <v>25</v>
      </c>
      <c r="L45" t="s">
        <v>23</v>
      </c>
      <c r="M45" t="s">
        <v>136</v>
      </c>
      <c r="N45">
        <v>44</v>
      </c>
      <c r="S45">
        <v>7.8519852702045876</v>
      </c>
    </row>
    <row r="46" spans="1:19" x14ac:dyDescent="0.25">
      <c r="A46" t="s">
        <v>132</v>
      </c>
      <c r="B46">
        <v>2</v>
      </c>
      <c r="C46">
        <v>1</v>
      </c>
      <c r="D46" t="s">
        <v>133</v>
      </c>
      <c r="E46">
        <v>1</v>
      </c>
      <c r="F46">
        <v>2</v>
      </c>
      <c r="G46">
        <v>1</v>
      </c>
      <c r="H46" t="s">
        <v>134</v>
      </c>
      <c r="I46">
        <v>1</v>
      </c>
      <c r="J46">
        <v>15</v>
      </c>
      <c r="K46" t="s">
        <v>27</v>
      </c>
      <c r="L46" t="s">
        <v>23</v>
      </c>
      <c r="M46" t="s">
        <v>137</v>
      </c>
      <c r="N46">
        <v>45</v>
      </c>
      <c r="S46">
        <v>6.7505036765624018</v>
      </c>
    </row>
    <row r="47" spans="1:19" x14ac:dyDescent="0.25">
      <c r="A47" t="s">
        <v>132</v>
      </c>
      <c r="B47">
        <v>3</v>
      </c>
      <c r="C47">
        <v>1</v>
      </c>
      <c r="D47" t="s">
        <v>133</v>
      </c>
      <c r="E47">
        <v>1</v>
      </c>
      <c r="F47">
        <v>2</v>
      </c>
      <c r="G47">
        <v>0</v>
      </c>
      <c r="H47" t="s">
        <v>134</v>
      </c>
      <c r="I47">
        <v>1</v>
      </c>
      <c r="J47">
        <v>16</v>
      </c>
      <c r="K47" t="s">
        <v>22</v>
      </c>
      <c r="L47" t="s">
        <v>23</v>
      </c>
      <c r="M47" t="s">
        <v>138</v>
      </c>
      <c r="N47">
        <v>46</v>
      </c>
      <c r="S47">
        <v>7.828992578215777</v>
      </c>
    </row>
    <row r="48" spans="1:19" x14ac:dyDescent="0.25">
      <c r="A48" t="s">
        <v>132</v>
      </c>
      <c r="B48">
        <v>4</v>
      </c>
      <c r="C48">
        <v>1</v>
      </c>
      <c r="D48" t="s">
        <v>133</v>
      </c>
      <c r="E48">
        <v>1</v>
      </c>
      <c r="F48">
        <v>2</v>
      </c>
      <c r="G48">
        <v>0</v>
      </c>
      <c r="H48" t="s">
        <v>134</v>
      </c>
      <c r="I48">
        <v>1</v>
      </c>
      <c r="J48">
        <v>16</v>
      </c>
      <c r="K48" t="s">
        <v>25</v>
      </c>
      <c r="L48" t="s">
        <v>23</v>
      </c>
      <c r="M48" t="s">
        <v>139</v>
      </c>
      <c r="N48">
        <v>47</v>
      </c>
      <c r="S48">
        <v>6.98624467427239</v>
      </c>
    </row>
    <row r="49" spans="1:19" x14ac:dyDescent="0.25">
      <c r="A49" t="s">
        <v>132</v>
      </c>
      <c r="B49">
        <v>5</v>
      </c>
      <c r="C49">
        <v>1</v>
      </c>
      <c r="D49" t="s">
        <v>133</v>
      </c>
      <c r="E49">
        <v>1</v>
      </c>
      <c r="F49">
        <v>2</v>
      </c>
      <c r="G49">
        <v>0</v>
      </c>
      <c r="H49" t="s">
        <v>134</v>
      </c>
      <c r="I49">
        <v>1</v>
      </c>
      <c r="J49">
        <v>16</v>
      </c>
      <c r="K49" t="s">
        <v>27</v>
      </c>
      <c r="L49" t="s">
        <v>23</v>
      </c>
      <c r="M49" t="s">
        <v>140</v>
      </c>
      <c r="N49">
        <v>48</v>
      </c>
      <c r="S49">
        <v>6.0666202840115142</v>
      </c>
    </row>
    <row r="50" spans="1:19" x14ac:dyDescent="0.25">
      <c r="A50" t="s">
        <v>147</v>
      </c>
      <c r="B50">
        <v>0</v>
      </c>
      <c r="C50">
        <v>1</v>
      </c>
      <c r="D50" t="s">
        <v>148</v>
      </c>
      <c r="E50">
        <v>1</v>
      </c>
      <c r="F50">
        <v>2</v>
      </c>
      <c r="G50">
        <v>0</v>
      </c>
      <c r="H50" t="s">
        <v>149</v>
      </c>
      <c r="I50">
        <v>1</v>
      </c>
      <c r="J50">
        <v>17</v>
      </c>
      <c r="K50" t="s">
        <v>22</v>
      </c>
      <c r="L50" t="s">
        <v>23</v>
      </c>
      <c r="M50" t="s">
        <v>150</v>
      </c>
      <c r="N50">
        <v>49</v>
      </c>
      <c r="S50">
        <v>8.5311000358790778</v>
      </c>
    </row>
    <row r="51" spans="1:19" x14ac:dyDescent="0.25">
      <c r="A51" t="s">
        <v>147</v>
      </c>
      <c r="B51">
        <v>1</v>
      </c>
      <c r="C51">
        <v>1</v>
      </c>
      <c r="D51" t="s">
        <v>148</v>
      </c>
      <c r="E51">
        <v>1</v>
      </c>
      <c r="F51">
        <v>2</v>
      </c>
      <c r="G51">
        <v>0</v>
      </c>
      <c r="H51" t="s">
        <v>149</v>
      </c>
      <c r="I51">
        <v>1</v>
      </c>
      <c r="J51">
        <v>17</v>
      </c>
      <c r="K51" t="s">
        <v>25</v>
      </c>
      <c r="L51" t="s">
        <v>23</v>
      </c>
      <c r="M51" t="s">
        <v>151</v>
      </c>
      <c r="N51">
        <v>50</v>
      </c>
      <c r="S51">
        <v>8.2796718871334924</v>
      </c>
    </row>
    <row r="52" spans="1:19" x14ac:dyDescent="0.25">
      <c r="A52" t="s">
        <v>147</v>
      </c>
      <c r="B52">
        <v>2</v>
      </c>
      <c r="C52">
        <v>1</v>
      </c>
      <c r="D52" t="s">
        <v>148</v>
      </c>
      <c r="E52">
        <v>1</v>
      </c>
      <c r="F52">
        <v>2</v>
      </c>
      <c r="G52">
        <v>0</v>
      </c>
      <c r="H52" t="s">
        <v>149</v>
      </c>
      <c r="I52">
        <v>1</v>
      </c>
      <c r="J52">
        <v>17</v>
      </c>
      <c r="K52" t="s">
        <v>27</v>
      </c>
      <c r="L52" t="s">
        <v>23</v>
      </c>
      <c r="M52" t="s">
        <v>152</v>
      </c>
      <c r="N52">
        <v>51</v>
      </c>
      <c r="S52">
        <v>7.3308702560115027</v>
      </c>
    </row>
    <row r="53" spans="1:19" x14ac:dyDescent="0.25">
      <c r="A53" t="s">
        <v>147</v>
      </c>
      <c r="B53">
        <v>3</v>
      </c>
      <c r="C53">
        <v>1</v>
      </c>
      <c r="D53" t="s">
        <v>148</v>
      </c>
      <c r="E53">
        <v>1</v>
      </c>
      <c r="F53">
        <v>2</v>
      </c>
      <c r="G53">
        <v>0</v>
      </c>
      <c r="H53" t="s">
        <v>149</v>
      </c>
      <c r="I53">
        <v>1</v>
      </c>
      <c r="J53">
        <v>18</v>
      </c>
      <c r="K53" t="s">
        <v>22</v>
      </c>
      <c r="L53" t="s">
        <v>23</v>
      </c>
      <c r="M53" t="s">
        <v>153</v>
      </c>
      <c r="N53">
        <v>52</v>
      </c>
      <c r="S53">
        <v>9.277357636784739</v>
      </c>
    </row>
    <row r="54" spans="1:19" x14ac:dyDescent="0.25">
      <c r="A54" t="s">
        <v>147</v>
      </c>
      <c r="B54">
        <v>4</v>
      </c>
      <c r="C54">
        <v>1</v>
      </c>
      <c r="D54" t="s">
        <v>148</v>
      </c>
      <c r="E54">
        <v>1</v>
      </c>
      <c r="F54">
        <v>2</v>
      </c>
      <c r="G54">
        <v>0</v>
      </c>
      <c r="H54" t="s">
        <v>149</v>
      </c>
      <c r="I54">
        <v>1</v>
      </c>
      <c r="J54">
        <v>18</v>
      </c>
      <c r="K54" t="s">
        <v>25</v>
      </c>
      <c r="L54" t="s">
        <v>23</v>
      </c>
      <c r="M54" t="s">
        <v>154</v>
      </c>
      <c r="N54">
        <v>53</v>
      </c>
      <c r="S54">
        <v>7.8996786510364672</v>
      </c>
    </row>
    <row r="55" spans="1:19" x14ac:dyDescent="0.25">
      <c r="A55" t="s">
        <v>147</v>
      </c>
      <c r="B55">
        <v>5</v>
      </c>
      <c r="C55">
        <v>1</v>
      </c>
      <c r="D55" t="s">
        <v>148</v>
      </c>
      <c r="E55">
        <v>1</v>
      </c>
      <c r="F55">
        <v>2</v>
      </c>
      <c r="G55">
        <v>0</v>
      </c>
      <c r="H55" t="s">
        <v>149</v>
      </c>
      <c r="I55">
        <v>1</v>
      </c>
      <c r="J55">
        <v>18</v>
      </c>
      <c r="K55" t="s">
        <v>27</v>
      </c>
      <c r="L55" t="s">
        <v>23</v>
      </c>
      <c r="M55" t="s">
        <v>155</v>
      </c>
      <c r="N55">
        <v>54</v>
      </c>
      <c r="S55">
        <v>6.7181848022784223</v>
      </c>
    </row>
    <row r="56" spans="1:19" x14ac:dyDescent="0.25">
      <c r="A56" t="s">
        <v>162</v>
      </c>
      <c r="B56">
        <v>0</v>
      </c>
      <c r="C56">
        <v>1</v>
      </c>
      <c r="D56" t="s">
        <v>163</v>
      </c>
      <c r="E56">
        <v>1</v>
      </c>
      <c r="F56">
        <v>2</v>
      </c>
      <c r="G56">
        <v>0</v>
      </c>
      <c r="H56" t="s">
        <v>164</v>
      </c>
      <c r="I56">
        <v>1</v>
      </c>
      <c r="J56">
        <v>19</v>
      </c>
      <c r="K56" t="s">
        <v>22</v>
      </c>
      <c r="L56" t="s">
        <v>23</v>
      </c>
      <c r="M56" t="s">
        <v>165</v>
      </c>
      <c r="N56">
        <v>55</v>
      </c>
      <c r="S56">
        <v>7.8553747223768964</v>
      </c>
    </row>
    <row r="57" spans="1:19" x14ac:dyDescent="0.25">
      <c r="A57" t="s">
        <v>162</v>
      </c>
      <c r="B57">
        <v>1</v>
      </c>
      <c r="C57">
        <v>1</v>
      </c>
      <c r="D57" t="s">
        <v>163</v>
      </c>
      <c r="E57">
        <v>1</v>
      </c>
      <c r="F57">
        <v>2</v>
      </c>
      <c r="G57">
        <v>0</v>
      </c>
      <c r="H57" t="s">
        <v>164</v>
      </c>
      <c r="I57">
        <v>1</v>
      </c>
      <c r="J57">
        <v>19</v>
      </c>
      <c r="K57" t="s">
        <v>25</v>
      </c>
      <c r="L57" t="s">
        <v>23</v>
      </c>
      <c r="M57" t="s">
        <v>166</v>
      </c>
      <c r="N57">
        <v>56</v>
      </c>
      <c r="S57">
        <v>6.8582483697949357</v>
      </c>
    </row>
    <row r="58" spans="1:19" x14ac:dyDescent="0.25">
      <c r="A58" t="s">
        <v>162</v>
      </c>
      <c r="B58">
        <v>2</v>
      </c>
      <c r="C58">
        <v>1</v>
      </c>
      <c r="D58" t="s">
        <v>163</v>
      </c>
      <c r="E58">
        <v>1</v>
      </c>
      <c r="F58">
        <v>2</v>
      </c>
      <c r="G58">
        <v>0</v>
      </c>
      <c r="H58" t="s">
        <v>164</v>
      </c>
      <c r="I58">
        <v>1</v>
      </c>
      <c r="J58">
        <v>19</v>
      </c>
      <c r="K58" t="s">
        <v>27</v>
      </c>
      <c r="L58" t="s">
        <v>23</v>
      </c>
      <c r="M58" t="s">
        <v>167</v>
      </c>
      <c r="N58">
        <v>57</v>
      </c>
      <c r="S58">
        <v>5.3530760330960163</v>
      </c>
    </row>
    <row r="59" spans="1:19" x14ac:dyDescent="0.25">
      <c r="A59" t="s">
        <v>171</v>
      </c>
      <c r="B59">
        <v>0</v>
      </c>
      <c r="C59">
        <v>1</v>
      </c>
      <c r="D59" t="s">
        <v>172</v>
      </c>
      <c r="E59">
        <v>1</v>
      </c>
      <c r="F59">
        <v>2</v>
      </c>
      <c r="G59">
        <v>1</v>
      </c>
      <c r="H59" t="s">
        <v>173</v>
      </c>
      <c r="I59">
        <v>1</v>
      </c>
      <c r="J59">
        <v>20</v>
      </c>
      <c r="K59" t="s">
        <v>22</v>
      </c>
      <c r="L59" t="s">
        <v>23</v>
      </c>
      <c r="M59" t="s">
        <v>174</v>
      </c>
      <c r="N59">
        <v>58</v>
      </c>
      <c r="S59">
        <v>7.1794991584564212</v>
      </c>
    </row>
    <row r="60" spans="1:19" x14ac:dyDescent="0.25">
      <c r="A60" t="s">
        <v>171</v>
      </c>
      <c r="B60">
        <v>1</v>
      </c>
      <c r="C60">
        <v>1</v>
      </c>
      <c r="D60" t="s">
        <v>172</v>
      </c>
      <c r="E60">
        <v>1</v>
      </c>
      <c r="F60">
        <v>2</v>
      </c>
      <c r="G60">
        <v>1</v>
      </c>
      <c r="H60" t="s">
        <v>173</v>
      </c>
      <c r="I60">
        <v>1</v>
      </c>
      <c r="J60">
        <v>20</v>
      </c>
      <c r="K60" t="s">
        <v>25</v>
      </c>
      <c r="L60" t="s">
        <v>23</v>
      </c>
      <c r="M60" t="s">
        <v>175</v>
      </c>
      <c r="N60">
        <v>59</v>
      </c>
      <c r="S60">
        <v>5.6670269620992544</v>
      </c>
    </row>
    <row r="61" spans="1:19" x14ac:dyDescent="0.25">
      <c r="A61" t="s">
        <v>171</v>
      </c>
      <c r="B61">
        <v>2</v>
      </c>
      <c r="C61">
        <v>1</v>
      </c>
      <c r="D61" t="s">
        <v>172</v>
      </c>
      <c r="E61">
        <v>1</v>
      </c>
      <c r="F61">
        <v>2</v>
      </c>
      <c r="G61">
        <v>1</v>
      </c>
      <c r="H61" t="s">
        <v>173</v>
      </c>
      <c r="I61">
        <v>1</v>
      </c>
      <c r="J61">
        <v>20</v>
      </c>
      <c r="K61" t="s">
        <v>27</v>
      </c>
      <c r="L61" t="s">
        <v>23</v>
      </c>
      <c r="M61" t="s">
        <v>176</v>
      </c>
      <c r="N61">
        <v>60</v>
      </c>
      <c r="S61">
        <v>5.4404581865102735</v>
      </c>
    </row>
    <row r="62" spans="1:19" x14ac:dyDescent="0.25">
      <c r="A62" t="s">
        <v>171</v>
      </c>
      <c r="B62">
        <v>3</v>
      </c>
      <c r="C62">
        <v>1</v>
      </c>
      <c r="D62" t="s">
        <v>172</v>
      </c>
      <c r="E62">
        <v>1</v>
      </c>
      <c r="F62">
        <v>2</v>
      </c>
      <c r="G62">
        <v>0</v>
      </c>
      <c r="H62" t="s">
        <v>173</v>
      </c>
      <c r="I62">
        <v>1</v>
      </c>
      <c r="J62">
        <v>21</v>
      </c>
      <c r="K62" t="s">
        <v>22</v>
      </c>
      <c r="L62" t="s">
        <v>23</v>
      </c>
      <c r="M62" t="s">
        <v>177</v>
      </c>
      <c r="N62">
        <v>61</v>
      </c>
      <c r="S62">
        <v>7.754956621275725</v>
      </c>
    </row>
    <row r="63" spans="1:19" x14ac:dyDescent="0.25">
      <c r="A63" t="s">
        <v>171</v>
      </c>
      <c r="B63">
        <v>4</v>
      </c>
      <c r="C63">
        <v>1</v>
      </c>
      <c r="D63" t="s">
        <v>172</v>
      </c>
      <c r="E63">
        <v>1</v>
      </c>
      <c r="F63">
        <v>2</v>
      </c>
      <c r="G63">
        <v>0</v>
      </c>
      <c r="H63" t="s">
        <v>173</v>
      </c>
      <c r="I63">
        <v>1</v>
      </c>
      <c r="J63">
        <v>21</v>
      </c>
      <c r="K63" t="s">
        <v>25</v>
      </c>
      <c r="L63" t="s">
        <v>23</v>
      </c>
      <c r="M63" t="s">
        <v>178</v>
      </c>
      <c r="N63">
        <v>62</v>
      </c>
      <c r="S63">
        <v>6.3621732680805803</v>
      </c>
    </row>
    <row r="64" spans="1:19" x14ac:dyDescent="0.25">
      <c r="A64" t="s">
        <v>171</v>
      </c>
      <c r="B64">
        <v>5</v>
      </c>
      <c r="C64">
        <v>1</v>
      </c>
      <c r="D64" t="s">
        <v>172</v>
      </c>
      <c r="E64">
        <v>1</v>
      </c>
      <c r="F64">
        <v>2</v>
      </c>
      <c r="G64">
        <v>0</v>
      </c>
      <c r="H64" t="s">
        <v>173</v>
      </c>
      <c r="I64">
        <v>1</v>
      </c>
      <c r="J64">
        <v>21</v>
      </c>
      <c r="K64" t="s">
        <v>27</v>
      </c>
      <c r="L64" t="s">
        <v>23</v>
      </c>
      <c r="M64" t="s">
        <v>179</v>
      </c>
      <c r="N64">
        <v>63</v>
      </c>
      <c r="S64">
        <v>6.1119400946596176</v>
      </c>
    </row>
    <row r="65" spans="1:19" x14ac:dyDescent="0.25">
      <c r="A65" t="s">
        <v>186</v>
      </c>
      <c r="B65">
        <v>0</v>
      </c>
      <c r="C65">
        <v>1</v>
      </c>
      <c r="D65" t="s">
        <v>187</v>
      </c>
      <c r="E65">
        <v>1</v>
      </c>
      <c r="F65">
        <v>2</v>
      </c>
      <c r="G65">
        <v>1</v>
      </c>
      <c r="H65" t="s">
        <v>188</v>
      </c>
      <c r="I65">
        <v>1</v>
      </c>
      <c r="J65">
        <v>22</v>
      </c>
      <c r="K65" t="s">
        <v>22</v>
      </c>
      <c r="L65" t="s">
        <v>23</v>
      </c>
      <c r="M65" t="s">
        <v>189</v>
      </c>
      <c r="N65">
        <v>64</v>
      </c>
      <c r="S65">
        <v>6.8157339574420828</v>
      </c>
    </row>
    <row r="66" spans="1:19" x14ac:dyDescent="0.25">
      <c r="A66" t="s">
        <v>186</v>
      </c>
      <c r="B66">
        <v>1</v>
      </c>
      <c r="C66">
        <v>1</v>
      </c>
      <c r="D66" t="s">
        <v>187</v>
      </c>
      <c r="E66">
        <v>1</v>
      </c>
      <c r="F66">
        <v>2</v>
      </c>
      <c r="G66">
        <v>1</v>
      </c>
      <c r="H66" t="s">
        <v>188</v>
      </c>
      <c r="I66">
        <v>1</v>
      </c>
      <c r="J66">
        <v>22</v>
      </c>
      <c r="K66" t="s">
        <v>25</v>
      </c>
      <c r="L66" t="s">
        <v>23</v>
      </c>
      <c r="M66" t="s">
        <v>190</v>
      </c>
      <c r="N66">
        <v>65</v>
      </c>
      <c r="S66">
        <v>5.7888752174953986</v>
      </c>
    </row>
    <row r="67" spans="1:19" x14ac:dyDescent="0.25">
      <c r="A67" t="s">
        <v>186</v>
      </c>
      <c r="B67">
        <v>2</v>
      </c>
      <c r="C67">
        <v>1</v>
      </c>
      <c r="D67" t="s">
        <v>187</v>
      </c>
      <c r="E67">
        <v>1</v>
      </c>
      <c r="F67">
        <v>2</v>
      </c>
      <c r="G67">
        <v>1</v>
      </c>
      <c r="H67" t="s">
        <v>188</v>
      </c>
      <c r="I67">
        <v>1</v>
      </c>
      <c r="J67">
        <v>22</v>
      </c>
      <c r="K67" t="s">
        <v>27</v>
      </c>
      <c r="L67" t="s">
        <v>23</v>
      </c>
      <c r="M67" t="s">
        <v>191</v>
      </c>
      <c r="N67">
        <v>66</v>
      </c>
      <c r="S67">
        <v>4.9707165228312702</v>
      </c>
    </row>
    <row r="68" spans="1:19" x14ac:dyDescent="0.25">
      <c r="A68" t="s">
        <v>19</v>
      </c>
      <c r="B68">
        <v>3</v>
      </c>
      <c r="C68">
        <v>1</v>
      </c>
      <c r="D68" t="s">
        <v>20</v>
      </c>
      <c r="E68">
        <v>1</v>
      </c>
      <c r="F68">
        <v>2</v>
      </c>
      <c r="G68">
        <v>0</v>
      </c>
      <c r="H68" t="s">
        <v>21</v>
      </c>
      <c r="I68">
        <v>1</v>
      </c>
      <c r="J68">
        <v>1</v>
      </c>
      <c r="K68" t="s">
        <v>22</v>
      </c>
      <c r="L68" t="s">
        <v>29</v>
      </c>
      <c r="M68" t="s">
        <v>30</v>
      </c>
      <c r="N68">
        <v>1</v>
      </c>
      <c r="O68">
        <v>168.5</v>
      </c>
      <c r="Q68">
        <v>89.96</v>
      </c>
      <c r="R68">
        <f>O68/Q68</f>
        <v>1.8730546909737662</v>
      </c>
    </row>
    <row r="69" spans="1:19" x14ac:dyDescent="0.25">
      <c r="A69" t="s">
        <v>19</v>
      </c>
      <c r="B69">
        <v>4</v>
      </c>
      <c r="C69">
        <v>1</v>
      </c>
      <c r="D69" t="s">
        <v>20</v>
      </c>
      <c r="E69">
        <v>1</v>
      </c>
      <c r="F69">
        <v>2</v>
      </c>
      <c r="G69">
        <v>0</v>
      </c>
      <c r="H69" t="s">
        <v>21</v>
      </c>
      <c r="I69">
        <v>1</v>
      </c>
      <c r="J69">
        <v>1</v>
      </c>
      <c r="K69" t="s">
        <v>25</v>
      </c>
      <c r="L69" t="s">
        <v>29</v>
      </c>
      <c r="M69" t="s">
        <v>31</v>
      </c>
      <c r="N69">
        <v>2</v>
      </c>
      <c r="O69">
        <v>166.5</v>
      </c>
      <c r="Q69">
        <v>89.96</v>
      </c>
      <c r="R69">
        <f t="shared" ref="R69:R132" si="0">O69/Q69</f>
        <v>1.8508225878168076</v>
      </c>
    </row>
    <row r="70" spans="1:19" x14ac:dyDescent="0.25">
      <c r="A70" t="s">
        <v>19</v>
      </c>
      <c r="B70">
        <v>5</v>
      </c>
      <c r="C70">
        <v>1</v>
      </c>
      <c r="D70" t="s">
        <v>20</v>
      </c>
      <c r="E70">
        <v>1</v>
      </c>
      <c r="F70">
        <v>2</v>
      </c>
      <c r="G70">
        <v>0</v>
      </c>
      <c r="H70" t="s">
        <v>21</v>
      </c>
      <c r="I70">
        <v>1</v>
      </c>
      <c r="J70">
        <v>1</v>
      </c>
      <c r="K70" t="s">
        <v>27</v>
      </c>
      <c r="L70" t="s">
        <v>29</v>
      </c>
      <c r="M70" t="s">
        <v>32</v>
      </c>
      <c r="N70">
        <v>3</v>
      </c>
      <c r="O70">
        <v>139.5</v>
      </c>
      <c r="Q70">
        <v>89.96</v>
      </c>
      <c r="R70">
        <f t="shared" si="0"/>
        <v>1.5506891951978659</v>
      </c>
    </row>
    <row r="71" spans="1:19" x14ac:dyDescent="0.25">
      <c r="A71" t="s">
        <v>33</v>
      </c>
      <c r="B71">
        <v>6</v>
      </c>
      <c r="C71">
        <v>1</v>
      </c>
      <c r="D71" t="s">
        <v>34</v>
      </c>
      <c r="E71">
        <v>1</v>
      </c>
      <c r="F71">
        <v>2</v>
      </c>
      <c r="G71">
        <v>0</v>
      </c>
      <c r="H71" t="s">
        <v>35</v>
      </c>
      <c r="I71">
        <v>1</v>
      </c>
      <c r="J71">
        <v>2</v>
      </c>
      <c r="K71" t="s">
        <v>22</v>
      </c>
      <c r="L71" t="s">
        <v>29</v>
      </c>
      <c r="M71" t="s">
        <v>42</v>
      </c>
      <c r="N71">
        <v>4</v>
      </c>
      <c r="O71">
        <v>169</v>
      </c>
      <c r="Q71">
        <v>89.96</v>
      </c>
      <c r="R71">
        <f t="shared" si="0"/>
        <v>1.878612716763006</v>
      </c>
    </row>
    <row r="72" spans="1:19" x14ac:dyDescent="0.25">
      <c r="A72" t="s">
        <v>33</v>
      </c>
      <c r="B72">
        <v>7</v>
      </c>
      <c r="C72">
        <v>1</v>
      </c>
      <c r="D72" t="s">
        <v>34</v>
      </c>
      <c r="E72">
        <v>1</v>
      </c>
      <c r="F72">
        <v>2</v>
      </c>
      <c r="G72">
        <v>0</v>
      </c>
      <c r="H72" t="s">
        <v>35</v>
      </c>
      <c r="I72">
        <v>1</v>
      </c>
      <c r="J72">
        <v>2</v>
      </c>
      <c r="K72" t="s">
        <v>25</v>
      </c>
      <c r="L72" t="s">
        <v>29</v>
      </c>
      <c r="M72" t="s">
        <v>43</v>
      </c>
      <c r="N72">
        <v>5</v>
      </c>
      <c r="O72">
        <v>171.5</v>
      </c>
      <c r="Q72">
        <v>89.96</v>
      </c>
      <c r="R72">
        <f t="shared" si="0"/>
        <v>1.9064028457092042</v>
      </c>
    </row>
    <row r="73" spans="1:19" x14ac:dyDescent="0.25">
      <c r="A73" t="s">
        <v>33</v>
      </c>
      <c r="B73">
        <v>8</v>
      </c>
      <c r="C73">
        <v>1</v>
      </c>
      <c r="D73" t="s">
        <v>34</v>
      </c>
      <c r="E73">
        <v>1</v>
      </c>
      <c r="F73">
        <v>2</v>
      </c>
      <c r="G73">
        <v>0</v>
      </c>
      <c r="H73" t="s">
        <v>35</v>
      </c>
      <c r="I73">
        <v>1</v>
      </c>
      <c r="J73">
        <v>2</v>
      </c>
      <c r="K73" t="s">
        <v>27</v>
      </c>
      <c r="L73" t="s">
        <v>29</v>
      </c>
      <c r="M73" t="s">
        <v>44</v>
      </c>
      <c r="N73">
        <v>6</v>
      </c>
      <c r="O73">
        <v>158</v>
      </c>
      <c r="Q73">
        <v>89.96</v>
      </c>
      <c r="R73">
        <f t="shared" si="0"/>
        <v>1.7563361493997334</v>
      </c>
    </row>
    <row r="74" spans="1:19" x14ac:dyDescent="0.25">
      <c r="A74" t="s">
        <v>33</v>
      </c>
      <c r="B74">
        <v>9</v>
      </c>
      <c r="C74">
        <v>1</v>
      </c>
      <c r="D74" t="s">
        <v>34</v>
      </c>
      <c r="E74">
        <v>1</v>
      </c>
      <c r="F74">
        <v>2</v>
      </c>
      <c r="G74">
        <v>1</v>
      </c>
      <c r="H74" t="s">
        <v>35</v>
      </c>
      <c r="I74">
        <v>1</v>
      </c>
      <c r="J74">
        <v>3</v>
      </c>
      <c r="K74" t="s">
        <v>22</v>
      </c>
      <c r="L74" t="s">
        <v>29</v>
      </c>
      <c r="M74" t="s">
        <v>45</v>
      </c>
      <c r="N74">
        <v>7</v>
      </c>
      <c r="O74">
        <v>158</v>
      </c>
      <c r="Q74">
        <v>89.96</v>
      </c>
      <c r="R74">
        <f t="shared" si="0"/>
        <v>1.7563361493997334</v>
      </c>
    </row>
    <row r="75" spans="1:19" x14ac:dyDescent="0.25">
      <c r="A75" t="s">
        <v>33</v>
      </c>
      <c r="B75">
        <v>10</v>
      </c>
      <c r="C75">
        <v>1</v>
      </c>
      <c r="D75" t="s">
        <v>34</v>
      </c>
      <c r="E75">
        <v>1</v>
      </c>
      <c r="F75">
        <v>2</v>
      </c>
      <c r="G75">
        <v>1</v>
      </c>
      <c r="H75" t="s">
        <v>35</v>
      </c>
      <c r="I75">
        <v>1</v>
      </c>
      <c r="J75">
        <v>3</v>
      </c>
      <c r="K75" t="s">
        <v>25</v>
      </c>
      <c r="L75" t="s">
        <v>29</v>
      </c>
      <c r="M75" t="s">
        <v>46</v>
      </c>
      <c r="N75">
        <v>8</v>
      </c>
      <c r="O75">
        <v>138.5</v>
      </c>
      <c r="Q75">
        <v>89.96</v>
      </c>
      <c r="R75">
        <f t="shared" si="0"/>
        <v>1.5395731436193865</v>
      </c>
    </row>
    <row r="76" spans="1:19" x14ac:dyDescent="0.25">
      <c r="A76" t="s">
        <v>33</v>
      </c>
      <c r="B76">
        <v>11</v>
      </c>
      <c r="C76">
        <v>1</v>
      </c>
      <c r="D76" t="s">
        <v>34</v>
      </c>
      <c r="E76">
        <v>1</v>
      </c>
      <c r="F76">
        <v>2</v>
      </c>
      <c r="G76">
        <v>1</v>
      </c>
      <c r="H76" t="s">
        <v>35</v>
      </c>
      <c r="I76">
        <v>1</v>
      </c>
      <c r="J76">
        <v>3</v>
      </c>
      <c r="K76" t="s">
        <v>27</v>
      </c>
      <c r="L76" t="s">
        <v>29</v>
      </c>
      <c r="M76" t="s">
        <v>47</v>
      </c>
      <c r="N76">
        <v>9</v>
      </c>
      <c r="O76">
        <v>143</v>
      </c>
      <c r="Q76">
        <v>89.96</v>
      </c>
      <c r="R76">
        <f t="shared" si="0"/>
        <v>1.5895953757225434</v>
      </c>
    </row>
    <row r="77" spans="1:19" x14ac:dyDescent="0.25">
      <c r="A77" t="s">
        <v>48</v>
      </c>
      <c r="B77">
        <v>6</v>
      </c>
      <c r="C77">
        <v>1</v>
      </c>
      <c r="D77" t="s">
        <v>49</v>
      </c>
      <c r="E77">
        <v>1</v>
      </c>
      <c r="F77">
        <v>2</v>
      </c>
      <c r="G77">
        <v>0</v>
      </c>
      <c r="H77" t="s">
        <v>50</v>
      </c>
      <c r="I77">
        <v>1</v>
      </c>
      <c r="J77">
        <v>4</v>
      </c>
      <c r="K77" t="s">
        <v>22</v>
      </c>
      <c r="L77" t="s">
        <v>29</v>
      </c>
      <c r="M77" t="s">
        <v>57</v>
      </c>
      <c r="N77">
        <v>10</v>
      </c>
      <c r="O77">
        <v>159.5</v>
      </c>
      <c r="Q77">
        <v>89.96</v>
      </c>
      <c r="R77">
        <f t="shared" si="0"/>
        <v>1.7730102267674523</v>
      </c>
    </row>
    <row r="78" spans="1:19" x14ac:dyDescent="0.25">
      <c r="A78" t="s">
        <v>48</v>
      </c>
      <c r="B78">
        <v>7</v>
      </c>
      <c r="C78">
        <v>1</v>
      </c>
      <c r="D78" t="s">
        <v>49</v>
      </c>
      <c r="E78">
        <v>1</v>
      </c>
      <c r="F78">
        <v>2</v>
      </c>
      <c r="G78">
        <v>0</v>
      </c>
      <c r="H78" t="s">
        <v>50</v>
      </c>
      <c r="I78">
        <v>1</v>
      </c>
      <c r="J78">
        <v>4</v>
      </c>
      <c r="K78" t="s">
        <v>25</v>
      </c>
      <c r="L78" t="s">
        <v>29</v>
      </c>
      <c r="M78" t="s">
        <v>58</v>
      </c>
      <c r="N78">
        <v>11</v>
      </c>
      <c r="O78">
        <v>157</v>
      </c>
      <c r="Q78">
        <v>89.96</v>
      </c>
      <c r="R78">
        <f t="shared" si="0"/>
        <v>1.745220097821254</v>
      </c>
    </row>
    <row r="79" spans="1:19" x14ac:dyDescent="0.25">
      <c r="A79" t="s">
        <v>48</v>
      </c>
      <c r="B79">
        <v>8</v>
      </c>
      <c r="C79">
        <v>1</v>
      </c>
      <c r="D79" t="s">
        <v>49</v>
      </c>
      <c r="E79">
        <v>1</v>
      </c>
      <c r="F79">
        <v>2</v>
      </c>
      <c r="G79">
        <v>0</v>
      </c>
      <c r="H79" t="s">
        <v>50</v>
      </c>
      <c r="I79">
        <v>1</v>
      </c>
      <c r="J79">
        <v>4</v>
      </c>
      <c r="K79" t="s">
        <v>27</v>
      </c>
      <c r="L79" t="s">
        <v>29</v>
      </c>
      <c r="M79" t="s">
        <v>59</v>
      </c>
      <c r="N79">
        <v>12</v>
      </c>
      <c r="O79">
        <v>144.5</v>
      </c>
      <c r="Q79">
        <v>89.96</v>
      </c>
      <c r="R79">
        <f t="shared" si="0"/>
        <v>1.6062694530902624</v>
      </c>
    </row>
    <row r="80" spans="1:19" x14ac:dyDescent="0.25">
      <c r="A80" t="s">
        <v>48</v>
      </c>
      <c r="B80">
        <v>9</v>
      </c>
      <c r="C80">
        <v>1</v>
      </c>
      <c r="D80" t="s">
        <v>49</v>
      </c>
      <c r="E80">
        <v>1</v>
      </c>
      <c r="F80">
        <v>2</v>
      </c>
      <c r="G80">
        <v>0</v>
      </c>
      <c r="H80" t="s">
        <v>50</v>
      </c>
      <c r="I80">
        <v>1</v>
      </c>
      <c r="J80">
        <v>5</v>
      </c>
      <c r="K80" t="s">
        <v>22</v>
      </c>
      <c r="L80" t="s">
        <v>29</v>
      </c>
      <c r="M80" t="s">
        <v>60</v>
      </c>
      <c r="N80">
        <v>13</v>
      </c>
      <c r="O80">
        <v>175.5</v>
      </c>
      <c r="Q80">
        <v>89.96</v>
      </c>
      <c r="R80">
        <f t="shared" si="0"/>
        <v>1.9508670520231215</v>
      </c>
    </row>
    <row r="81" spans="1:18" x14ac:dyDescent="0.25">
      <c r="A81" t="s">
        <v>48</v>
      </c>
      <c r="B81">
        <v>10</v>
      </c>
      <c r="C81">
        <v>1</v>
      </c>
      <c r="D81" t="s">
        <v>49</v>
      </c>
      <c r="E81">
        <v>1</v>
      </c>
      <c r="F81">
        <v>2</v>
      </c>
      <c r="G81">
        <v>0</v>
      </c>
      <c r="H81" t="s">
        <v>50</v>
      </c>
      <c r="I81">
        <v>1</v>
      </c>
      <c r="J81">
        <v>5</v>
      </c>
      <c r="K81" t="s">
        <v>25</v>
      </c>
      <c r="L81" t="s">
        <v>29</v>
      </c>
      <c r="M81" t="s">
        <v>61</v>
      </c>
      <c r="N81">
        <v>14</v>
      </c>
      <c r="O81">
        <v>180</v>
      </c>
      <c r="Q81">
        <v>89.96</v>
      </c>
      <c r="R81">
        <f t="shared" si="0"/>
        <v>2.0008892841262784</v>
      </c>
    </row>
    <row r="82" spans="1:18" x14ac:dyDescent="0.25">
      <c r="A82" t="s">
        <v>48</v>
      </c>
      <c r="B82">
        <v>11</v>
      </c>
      <c r="C82">
        <v>1</v>
      </c>
      <c r="D82" t="s">
        <v>49</v>
      </c>
      <c r="E82">
        <v>1</v>
      </c>
      <c r="F82">
        <v>2</v>
      </c>
      <c r="G82">
        <v>0</v>
      </c>
      <c r="H82" t="s">
        <v>50</v>
      </c>
      <c r="I82">
        <v>1</v>
      </c>
      <c r="J82">
        <v>5</v>
      </c>
      <c r="K82" t="s">
        <v>27</v>
      </c>
      <c r="L82" t="s">
        <v>29</v>
      </c>
      <c r="M82" t="s">
        <v>62</v>
      </c>
      <c r="N82">
        <v>15</v>
      </c>
      <c r="O82">
        <v>151.5</v>
      </c>
      <c r="Q82">
        <v>89.96</v>
      </c>
      <c r="R82">
        <f t="shared" si="0"/>
        <v>1.6840818141396177</v>
      </c>
    </row>
    <row r="83" spans="1:18" x14ac:dyDescent="0.25">
      <c r="A83" t="s">
        <v>63</v>
      </c>
      <c r="B83">
        <v>6</v>
      </c>
      <c r="C83">
        <v>1</v>
      </c>
      <c r="D83" t="s">
        <v>64</v>
      </c>
      <c r="E83">
        <v>1</v>
      </c>
      <c r="F83">
        <v>2</v>
      </c>
      <c r="G83">
        <v>0</v>
      </c>
      <c r="H83" t="s">
        <v>65</v>
      </c>
      <c r="I83">
        <v>1</v>
      </c>
      <c r="J83">
        <v>6</v>
      </c>
      <c r="K83" t="s">
        <v>22</v>
      </c>
      <c r="L83" t="s">
        <v>29</v>
      </c>
      <c r="M83" t="s">
        <v>72</v>
      </c>
      <c r="N83">
        <v>16</v>
      </c>
      <c r="O83">
        <v>159.5</v>
      </c>
      <c r="Q83">
        <v>89.96</v>
      </c>
      <c r="R83">
        <f t="shared" si="0"/>
        <v>1.7730102267674523</v>
      </c>
    </row>
    <row r="84" spans="1:18" x14ac:dyDescent="0.25">
      <c r="A84" t="s">
        <v>63</v>
      </c>
      <c r="B84">
        <v>7</v>
      </c>
      <c r="C84">
        <v>1</v>
      </c>
      <c r="D84" t="s">
        <v>64</v>
      </c>
      <c r="E84">
        <v>1</v>
      </c>
      <c r="F84">
        <v>2</v>
      </c>
      <c r="G84">
        <v>0</v>
      </c>
      <c r="H84" t="s">
        <v>65</v>
      </c>
      <c r="I84">
        <v>1</v>
      </c>
      <c r="J84">
        <v>6</v>
      </c>
      <c r="K84" t="s">
        <v>25</v>
      </c>
      <c r="L84" t="s">
        <v>29</v>
      </c>
      <c r="M84" t="s">
        <v>73</v>
      </c>
      <c r="N84">
        <v>17</v>
      </c>
      <c r="O84">
        <v>151</v>
      </c>
      <c r="Q84">
        <v>89.96</v>
      </c>
      <c r="R84">
        <f t="shared" si="0"/>
        <v>1.6785237883503781</v>
      </c>
    </row>
    <row r="85" spans="1:18" x14ac:dyDescent="0.25">
      <c r="A85" t="s">
        <v>63</v>
      </c>
      <c r="B85">
        <v>8</v>
      </c>
      <c r="C85">
        <v>1</v>
      </c>
      <c r="D85" t="s">
        <v>64</v>
      </c>
      <c r="E85">
        <v>1</v>
      </c>
      <c r="F85">
        <v>2</v>
      </c>
      <c r="G85">
        <v>0</v>
      </c>
      <c r="H85" t="s">
        <v>65</v>
      </c>
      <c r="I85">
        <v>1</v>
      </c>
      <c r="J85">
        <v>6</v>
      </c>
      <c r="K85" t="s">
        <v>27</v>
      </c>
      <c r="L85" t="s">
        <v>29</v>
      </c>
      <c r="M85" t="s">
        <v>74</v>
      </c>
      <c r="N85">
        <v>18</v>
      </c>
      <c r="O85">
        <v>149</v>
      </c>
      <c r="Q85">
        <v>89.96</v>
      </c>
      <c r="R85">
        <f t="shared" si="0"/>
        <v>1.6562916851934195</v>
      </c>
    </row>
    <row r="86" spans="1:18" x14ac:dyDescent="0.25">
      <c r="A86" t="s">
        <v>63</v>
      </c>
      <c r="B86">
        <v>9</v>
      </c>
      <c r="C86">
        <v>1</v>
      </c>
      <c r="D86" t="s">
        <v>64</v>
      </c>
      <c r="E86">
        <v>1</v>
      </c>
      <c r="F86">
        <v>2</v>
      </c>
      <c r="G86">
        <v>0</v>
      </c>
      <c r="H86" t="s">
        <v>65</v>
      </c>
      <c r="I86">
        <v>1</v>
      </c>
      <c r="J86">
        <v>7</v>
      </c>
      <c r="K86" t="s">
        <v>22</v>
      </c>
      <c r="L86" t="s">
        <v>29</v>
      </c>
      <c r="M86" t="s">
        <v>75</v>
      </c>
      <c r="N86">
        <v>19</v>
      </c>
      <c r="O86">
        <v>159.5</v>
      </c>
      <c r="Q86">
        <v>89.96</v>
      </c>
      <c r="R86">
        <f t="shared" si="0"/>
        <v>1.7730102267674523</v>
      </c>
    </row>
    <row r="87" spans="1:18" x14ac:dyDescent="0.25">
      <c r="A87" t="s">
        <v>63</v>
      </c>
      <c r="B87">
        <v>10</v>
      </c>
      <c r="C87">
        <v>1</v>
      </c>
      <c r="D87" t="s">
        <v>64</v>
      </c>
      <c r="E87">
        <v>1</v>
      </c>
      <c r="F87">
        <v>2</v>
      </c>
      <c r="G87">
        <v>0</v>
      </c>
      <c r="H87" t="s">
        <v>65</v>
      </c>
      <c r="I87">
        <v>1</v>
      </c>
      <c r="J87">
        <v>7</v>
      </c>
      <c r="K87" t="s">
        <v>25</v>
      </c>
      <c r="L87" t="s">
        <v>29</v>
      </c>
      <c r="M87" t="s">
        <v>76</v>
      </c>
      <c r="N87">
        <v>20</v>
      </c>
      <c r="O87">
        <v>150</v>
      </c>
      <c r="Q87">
        <v>89.96</v>
      </c>
      <c r="R87">
        <f t="shared" si="0"/>
        <v>1.6674077367718987</v>
      </c>
    </row>
    <row r="88" spans="1:18" x14ac:dyDescent="0.25">
      <c r="A88" t="s">
        <v>63</v>
      </c>
      <c r="B88">
        <v>11</v>
      </c>
      <c r="C88">
        <v>1</v>
      </c>
      <c r="D88" t="s">
        <v>64</v>
      </c>
      <c r="E88">
        <v>1</v>
      </c>
      <c r="F88">
        <v>2</v>
      </c>
      <c r="G88">
        <v>0</v>
      </c>
      <c r="H88" t="s">
        <v>65</v>
      </c>
      <c r="I88">
        <v>1</v>
      </c>
      <c r="J88">
        <v>7</v>
      </c>
      <c r="K88" t="s">
        <v>27</v>
      </c>
      <c r="L88" t="s">
        <v>29</v>
      </c>
      <c r="M88" t="s">
        <v>77</v>
      </c>
      <c r="N88">
        <v>21</v>
      </c>
      <c r="O88">
        <v>149.5</v>
      </c>
      <c r="Q88">
        <v>89.96</v>
      </c>
      <c r="R88">
        <f t="shared" si="0"/>
        <v>1.6618497109826591</v>
      </c>
    </row>
    <row r="89" spans="1:18" x14ac:dyDescent="0.25">
      <c r="A89" t="s">
        <v>78</v>
      </c>
      <c r="B89">
        <v>6</v>
      </c>
      <c r="C89">
        <v>1</v>
      </c>
      <c r="D89" t="s">
        <v>79</v>
      </c>
      <c r="E89">
        <v>1</v>
      </c>
      <c r="F89">
        <v>2</v>
      </c>
      <c r="G89">
        <v>0</v>
      </c>
      <c r="H89" t="s">
        <v>80</v>
      </c>
      <c r="I89">
        <v>1</v>
      </c>
      <c r="J89">
        <v>8</v>
      </c>
      <c r="K89" t="s">
        <v>22</v>
      </c>
      <c r="L89" t="s">
        <v>29</v>
      </c>
      <c r="M89" t="s">
        <v>87</v>
      </c>
      <c r="N89">
        <v>22</v>
      </c>
      <c r="O89">
        <v>142.5</v>
      </c>
      <c r="Q89">
        <v>89.96</v>
      </c>
      <c r="R89">
        <f t="shared" si="0"/>
        <v>1.5840373499333038</v>
      </c>
    </row>
    <row r="90" spans="1:18" x14ac:dyDescent="0.25">
      <c r="A90" t="s">
        <v>78</v>
      </c>
      <c r="B90">
        <v>7</v>
      </c>
      <c r="C90">
        <v>1</v>
      </c>
      <c r="D90" t="s">
        <v>79</v>
      </c>
      <c r="E90">
        <v>1</v>
      </c>
      <c r="F90">
        <v>2</v>
      </c>
      <c r="G90">
        <v>0</v>
      </c>
      <c r="H90" t="s">
        <v>80</v>
      </c>
      <c r="I90">
        <v>1</v>
      </c>
      <c r="J90">
        <v>8</v>
      </c>
      <c r="K90" t="s">
        <v>25</v>
      </c>
      <c r="L90" t="s">
        <v>29</v>
      </c>
      <c r="M90" t="s">
        <v>88</v>
      </c>
      <c r="N90">
        <v>23</v>
      </c>
      <c r="O90">
        <v>139</v>
      </c>
      <c r="Q90">
        <v>89.96</v>
      </c>
      <c r="R90">
        <f t="shared" si="0"/>
        <v>1.5451311694086263</v>
      </c>
    </row>
    <row r="91" spans="1:18" x14ac:dyDescent="0.25">
      <c r="A91" t="s">
        <v>78</v>
      </c>
      <c r="B91">
        <v>8</v>
      </c>
      <c r="C91">
        <v>1</v>
      </c>
      <c r="D91" t="s">
        <v>79</v>
      </c>
      <c r="E91">
        <v>1</v>
      </c>
      <c r="F91">
        <v>2</v>
      </c>
      <c r="G91">
        <v>0</v>
      </c>
      <c r="H91" t="s">
        <v>80</v>
      </c>
      <c r="I91">
        <v>1</v>
      </c>
      <c r="J91">
        <v>8</v>
      </c>
      <c r="K91" t="s">
        <v>27</v>
      </c>
      <c r="L91" t="s">
        <v>29</v>
      </c>
      <c r="M91" t="s">
        <v>89</v>
      </c>
      <c r="N91">
        <v>24</v>
      </c>
      <c r="O91">
        <v>153</v>
      </c>
      <c r="Q91">
        <v>89.96</v>
      </c>
      <c r="R91">
        <f t="shared" si="0"/>
        <v>1.7007558915073366</v>
      </c>
    </row>
    <row r="92" spans="1:18" x14ac:dyDescent="0.25">
      <c r="A92" t="s">
        <v>78</v>
      </c>
      <c r="B92">
        <v>9</v>
      </c>
      <c r="C92">
        <v>1</v>
      </c>
      <c r="D92" t="s">
        <v>79</v>
      </c>
      <c r="E92">
        <v>1</v>
      </c>
      <c r="F92">
        <v>2</v>
      </c>
      <c r="G92">
        <v>0</v>
      </c>
      <c r="H92" t="s">
        <v>80</v>
      </c>
      <c r="I92">
        <v>1</v>
      </c>
      <c r="J92">
        <v>9</v>
      </c>
      <c r="K92" t="s">
        <v>22</v>
      </c>
      <c r="L92" t="s">
        <v>29</v>
      </c>
      <c r="M92" t="s">
        <v>90</v>
      </c>
      <c r="N92">
        <v>25</v>
      </c>
      <c r="O92">
        <v>150</v>
      </c>
      <c r="Q92">
        <v>89.96</v>
      </c>
      <c r="R92">
        <f t="shared" si="0"/>
        <v>1.6674077367718987</v>
      </c>
    </row>
    <row r="93" spans="1:18" x14ac:dyDescent="0.25">
      <c r="A93" t="s">
        <v>78</v>
      </c>
      <c r="B93">
        <v>10</v>
      </c>
      <c r="C93">
        <v>1</v>
      </c>
      <c r="D93" t="s">
        <v>79</v>
      </c>
      <c r="E93">
        <v>1</v>
      </c>
      <c r="F93">
        <v>2</v>
      </c>
      <c r="G93">
        <v>0</v>
      </c>
      <c r="H93" t="s">
        <v>80</v>
      </c>
      <c r="I93">
        <v>1</v>
      </c>
      <c r="J93">
        <v>9</v>
      </c>
      <c r="K93" t="s">
        <v>25</v>
      </c>
      <c r="L93" t="s">
        <v>29</v>
      </c>
      <c r="M93" t="s">
        <v>91</v>
      </c>
      <c r="N93">
        <v>26</v>
      </c>
      <c r="O93">
        <v>162.5</v>
      </c>
      <c r="Q93">
        <v>89.96</v>
      </c>
      <c r="R93">
        <f t="shared" si="0"/>
        <v>1.8063583815028903</v>
      </c>
    </row>
    <row r="94" spans="1:18" x14ac:dyDescent="0.25">
      <c r="A94" t="s">
        <v>78</v>
      </c>
      <c r="B94">
        <v>11</v>
      </c>
      <c r="C94">
        <v>1</v>
      </c>
      <c r="D94" t="s">
        <v>79</v>
      </c>
      <c r="E94">
        <v>1</v>
      </c>
      <c r="F94">
        <v>2</v>
      </c>
      <c r="G94">
        <v>0</v>
      </c>
      <c r="H94" t="s">
        <v>80</v>
      </c>
      <c r="I94">
        <v>1</v>
      </c>
      <c r="J94">
        <v>9</v>
      </c>
      <c r="K94" t="s">
        <v>27</v>
      </c>
      <c r="L94" t="s">
        <v>29</v>
      </c>
      <c r="M94" t="s">
        <v>92</v>
      </c>
      <c r="N94">
        <v>27</v>
      </c>
      <c r="O94">
        <v>138</v>
      </c>
      <c r="Q94">
        <v>89.96</v>
      </c>
      <c r="R94">
        <f t="shared" si="0"/>
        <v>1.5340151178301469</v>
      </c>
    </row>
    <row r="95" spans="1:18" x14ac:dyDescent="0.25">
      <c r="A95" t="s">
        <v>93</v>
      </c>
      <c r="B95">
        <v>6</v>
      </c>
      <c r="C95">
        <v>1</v>
      </c>
      <c r="D95" t="s">
        <v>94</v>
      </c>
      <c r="E95">
        <v>1</v>
      </c>
      <c r="F95">
        <v>2</v>
      </c>
      <c r="G95">
        <v>1</v>
      </c>
      <c r="H95" t="s">
        <v>95</v>
      </c>
      <c r="I95">
        <v>1</v>
      </c>
      <c r="J95">
        <v>10</v>
      </c>
      <c r="K95" t="s">
        <v>22</v>
      </c>
      <c r="L95" t="s">
        <v>29</v>
      </c>
      <c r="M95" t="s">
        <v>102</v>
      </c>
      <c r="N95">
        <v>28</v>
      </c>
      <c r="O95">
        <v>148.5</v>
      </c>
      <c r="Q95">
        <v>89.96</v>
      </c>
      <c r="R95">
        <f t="shared" si="0"/>
        <v>1.6507336594041797</v>
      </c>
    </row>
    <row r="96" spans="1:18" x14ac:dyDescent="0.25">
      <c r="A96" t="s">
        <v>93</v>
      </c>
      <c r="B96">
        <v>7</v>
      </c>
      <c r="C96">
        <v>1</v>
      </c>
      <c r="D96" t="s">
        <v>94</v>
      </c>
      <c r="E96">
        <v>1</v>
      </c>
      <c r="F96">
        <v>2</v>
      </c>
      <c r="G96">
        <v>1</v>
      </c>
      <c r="H96" t="s">
        <v>95</v>
      </c>
      <c r="I96">
        <v>1</v>
      </c>
      <c r="J96">
        <v>10</v>
      </c>
      <c r="K96" t="s">
        <v>25</v>
      </c>
      <c r="L96" t="s">
        <v>29</v>
      </c>
      <c r="M96" t="s">
        <v>103</v>
      </c>
      <c r="N96">
        <v>29</v>
      </c>
      <c r="O96">
        <v>144.5</v>
      </c>
      <c r="Q96">
        <v>89.96</v>
      </c>
      <c r="R96">
        <f t="shared" si="0"/>
        <v>1.6062694530902624</v>
      </c>
    </row>
    <row r="97" spans="1:18" x14ac:dyDescent="0.25">
      <c r="A97" t="s">
        <v>93</v>
      </c>
      <c r="B97">
        <v>8</v>
      </c>
      <c r="C97">
        <v>1</v>
      </c>
      <c r="D97" t="s">
        <v>94</v>
      </c>
      <c r="E97">
        <v>1</v>
      </c>
      <c r="F97">
        <v>2</v>
      </c>
      <c r="G97">
        <v>1</v>
      </c>
      <c r="H97" t="s">
        <v>95</v>
      </c>
      <c r="I97">
        <v>1</v>
      </c>
      <c r="J97">
        <v>10</v>
      </c>
      <c r="K97" t="s">
        <v>27</v>
      </c>
      <c r="L97" t="s">
        <v>29</v>
      </c>
      <c r="M97" t="s">
        <v>104</v>
      </c>
      <c r="N97">
        <v>30</v>
      </c>
      <c r="O97">
        <v>148.5</v>
      </c>
      <c r="Q97">
        <v>89.96</v>
      </c>
      <c r="R97">
        <f t="shared" si="0"/>
        <v>1.6507336594041797</v>
      </c>
    </row>
    <row r="98" spans="1:18" x14ac:dyDescent="0.25">
      <c r="A98" t="s">
        <v>93</v>
      </c>
      <c r="B98">
        <v>9</v>
      </c>
      <c r="C98">
        <v>1</v>
      </c>
      <c r="D98" t="s">
        <v>94</v>
      </c>
      <c r="E98">
        <v>1</v>
      </c>
      <c r="F98">
        <v>2</v>
      </c>
      <c r="G98">
        <v>0</v>
      </c>
      <c r="H98" t="s">
        <v>95</v>
      </c>
      <c r="I98">
        <v>1</v>
      </c>
      <c r="J98">
        <v>11</v>
      </c>
      <c r="K98" t="s">
        <v>22</v>
      </c>
      <c r="L98" t="s">
        <v>29</v>
      </c>
      <c r="M98" t="s">
        <v>105</v>
      </c>
      <c r="N98">
        <v>31</v>
      </c>
      <c r="O98">
        <v>171</v>
      </c>
      <c r="Q98">
        <v>89.96</v>
      </c>
      <c r="R98">
        <f t="shared" si="0"/>
        <v>1.9008448199199646</v>
      </c>
    </row>
    <row r="99" spans="1:18" x14ac:dyDescent="0.25">
      <c r="A99" t="s">
        <v>93</v>
      </c>
      <c r="B99">
        <v>10</v>
      </c>
      <c r="C99">
        <v>1</v>
      </c>
      <c r="D99" t="s">
        <v>94</v>
      </c>
      <c r="E99">
        <v>1</v>
      </c>
      <c r="F99">
        <v>2</v>
      </c>
      <c r="G99">
        <v>0</v>
      </c>
      <c r="H99" t="s">
        <v>95</v>
      </c>
      <c r="I99">
        <v>1</v>
      </c>
      <c r="J99">
        <v>11</v>
      </c>
      <c r="K99" t="s">
        <v>25</v>
      </c>
      <c r="L99" t="s">
        <v>29</v>
      </c>
      <c r="M99" t="s">
        <v>106</v>
      </c>
      <c r="N99">
        <v>32</v>
      </c>
      <c r="O99">
        <v>160.5</v>
      </c>
      <c r="Q99">
        <v>89.96</v>
      </c>
      <c r="R99">
        <f t="shared" si="0"/>
        <v>1.7841262783459317</v>
      </c>
    </row>
    <row r="100" spans="1:18" x14ac:dyDescent="0.25">
      <c r="A100" t="s">
        <v>93</v>
      </c>
      <c r="B100">
        <v>11</v>
      </c>
      <c r="C100">
        <v>1</v>
      </c>
      <c r="D100" t="s">
        <v>94</v>
      </c>
      <c r="E100">
        <v>1</v>
      </c>
      <c r="F100">
        <v>2</v>
      </c>
      <c r="G100">
        <v>0</v>
      </c>
      <c r="H100" t="s">
        <v>95</v>
      </c>
      <c r="I100">
        <v>1</v>
      </c>
      <c r="J100">
        <v>11</v>
      </c>
      <c r="K100" t="s">
        <v>27</v>
      </c>
      <c r="L100" t="s">
        <v>29</v>
      </c>
      <c r="M100" t="s">
        <v>107</v>
      </c>
      <c r="N100">
        <v>33</v>
      </c>
      <c r="O100">
        <v>157.5</v>
      </c>
      <c r="Q100">
        <v>89.96</v>
      </c>
      <c r="R100">
        <f t="shared" si="0"/>
        <v>1.7507781236104936</v>
      </c>
    </row>
    <row r="101" spans="1:18" x14ac:dyDescent="0.25">
      <c r="A101" t="s">
        <v>108</v>
      </c>
      <c r="B101">
        <v>3</v>
      </c>
      <c r="C101">
        <v>1</v>
      </c>
      <c r="D101" t="s">
        <v>109</v>
      </c>
      <c r="E101">
        <v>1</v>
      </c>
      <c r="F101">
        <v>2</v>
      </c>
      <c r="G101">
        <v>0</v>
      </c>
      <c r="H101" t="s">
        <v>110</v>
      </c>
      <c r="I101">
        <v>1</v>
      </c>
      <c r="J101">
        <v>12</v>
      </c>
      <c r="K101" t="s">
        <v>22</v>
      </c>
      <c r="L101" t="s">
        <v>29</v>
      </c>
      <c r="M101" t="s">
        <v>114</v>
      </c>
      <c r="N101">
        <v>34</v>
      </c>
      <c r="O101">
        <v>145.5</v>
      </c>
      <c r="Q101">
        <v>89.96</v>
      </c>
      <c r="R101">
        <f t="shared" si="0"/>
        <v>1.6173855046687418</v>
      </c>
    </row>
    <row r="102" spans="1:18" x14ac:dyDescent="0.25">
      <c r="A102" t="s">
        <v>108</v>
      </c>
      <c r="B102">
        <v>4</v>
      </c>
      <c r="C102">
        <v>1</v>
      </c>
      <c r="D102" t="s">
        <v>109</v>
      </c>
      <c r="E102">
        <v>1</v>
      </c>
      <c r="F102">
        <v>2</v>
      </c>
      <c r="G102">
        <v>0</v>
      </c>
      <c r="H102" t="s">
        <v>110</v>
      </c>
      <c r="I102">
        <v>1</v>
      </c>
      <c r="J102">
        <v>12</v>
      </c>
      <c r="K102" t="s">
        <v>25</v>
      </c>
      <c r="L102" t="s">
        <v>29</v>
      </c>
      <c r="M102" t="s">
        <v>115</v>
      </c>
      <c r="N102">
        <v>35</v>
      </c>
      <c r="O102">
        <v>115</v>
      </c>
      <c r="Q102">
        <v>89.96</v>
      </c>
      <c r="R102">
        <f t="shared" si="0"/>
        <v>1.2783459315251224</v>
      </c>
    </row>
    <row r="103" spans="1:18" x14ac:dyDescent="0.25">
      <c r="A103" t="s">
        <v>108</v>
      </c>
      <c r="B103">
        <v>5</v>
      </c>
      <c r="C103">
        <v>1</v>
      </c>
      <c r="D103" t="s">
        <v>109</v>
      </c>
      <c r="E103">
        <v>1</v>
      </c>
      <c r="F103">
        <v>2</v>
      </c>
      <c r="G103">
        <v>0</v>
      </c>
      <c r="H103" t="s">
        <v>110</v>
      </c>
      <c r="I103">
        <v>1</v>
      </c>
      <c r="J103">
        <v>12</v>
      </c>
      <c r="K103" t="s">
        <v>27</v>
      </c>
      <c r="L103" t="s">
        <v>29</v>
      </c>
      <c r="M103" t="s">
        <v>116</v>
      </c>
      <c r="N103">
        <v>36</v>
      </c>
      <c r="O103">
        <v>122.5</v>
      </c>
      <c r="Q103">
        <v>89.96</v>
      </c>
      <c r="R103">
        <f t="shared" si="0"/>
        <v>1.3617163183637173</v>
      </c>
    </row>
    <row r="104" spans="1:18" x14ac:dyDescent="0.25">
      <c r="A104" t="s">
        <v>117</v>
      </c>
      <c r="B104">
        <v>6</v>
      </c>
      <c r="C104">
        <v>1</v>
      </c>
      <c r="D104" t="s">
        <v>118</v>
      </c>
      <c r="E104">
        <v>1</v>
      </c>
      <c r="F104">
        <v>2</v>
      </c>
      <c r="G104">
        <v>0</v>
      </c>
      <c r="H104" t="s">
        <v>119</v>
      </c>
      <c r="I104">
        <v>1</v>
      </c>
      <c r="J104">
        <v>13</v>
      </c>
      <c r="K104" t="s">
        <v>22</v>
      </c>
      <c r="L104" t="s">
        <v>29</v>
      </c>
      <c r="M104" t="s">
        <v>126</v>
      </c>
      <c r="N104">
        <v>37</v>
      </c>
      <c r="O104">
        <v>139</v>
      </c>
      <c r="Q104">
        <v>89.96</v>
      </c>
      <c r="R104">
        <f t="shared" si="0"/>
        <v>1.5451311694086263</v>
      </c>
    </row>
    <row r="105" spans="1:18" x14ac:dyDescent="0.25">
      <c r="A105" t="s">
        <v>117</v>
      </c>
      <c r="B105">
        <v>7</v>
      </c>
      <c r="C105">
        <v>1</v>
      </c>
      <c r="D105" t="s">
        <v>118</v>
      </c>
      <c r="E105">
        <v>1</v>
      </c>
      <c r="F105">
        <v>2</v>
      </c>
      <c r="G105">
        <v>0</v>
      </c>
      <c r="H105" t="s">
        <v>119</v>
      </c>
      <c r="I105">
        <v>1</v>
      </c>
      <c r="J105">
        <v>13</v>
      </c>
      <c r="K105" t="s">
        <v>25</v>
      </c>
      <c r="L105" t="s">
        <v>29</v>
      </c>
      <c r="M105" t="s">
        <v>127</v>
      </c>
      <c r="N105">
        <v>38</v>
      </c>
      <c r="O105">
        <v>150.5</v>
      </c>
      <c r="Q105">
        <v>89.96</v>
      </c>
      <c r="R105">
        <f t="shared" si="0"/>
        <v>1.6729657625611385</v>
      </c>
    </row>
    <row r="106" spans="1:18" x14ac:dyDescent="0.25">
      <c r="A106" t="s">
        <v>117</v>
      </c>
      <c r="B106">
        <v>8</v>
      </c>
      <c r="C106">
        <v>1</v>
      </c>
      <c r="D106" t="s">
        <v>118</v>
      </c>
      <c r="E106">
        <v>1</v>
      </c>
      <c r="F106">
        <v>2</v>
      </c>
      <c r="G106">
        <v>0</v>
      </c>
      <c r="H106" t="s">
        <v>119</v>
      </c>
      <c r="I106">
        <v>1</v>
      </c>
      <c r="J106">
        <v>13</v>
      </c>
      <c r="K106" t="s">
        <v>27</v>
      </c>
      <c r="L106" t="s">
        <v>29</v>
      </c>
      <c r="M106" t="s">
        <v>128</v>
      </c>
      <c r="N106">
        <v>39</v>
      </c>
      <c r="O106">
        <v>147</v>
      </c>
      <c r="Q106">
        <v>89.96</v>
      </c>
      <c r="R106">
        <f t="shared" si="0"/>
        <v>1.6340595820364607</v>
      </c>
    </row>
    <row r="107" spans="1:18" x14ac:dyDescent="0.25">
      <c r="A107" t="s">
        <v>117</v>
      </c>
      <c r="B107">
        <v>9</v>
      </c>
      <c r="C107">
        <v>1</v>
      </c>
      <c r="D107" t="s">
        <v>118</v>
      </c>
      <c r="E107">
        <v>1</v>
      </c>
      <c r="F107">
        <v>2</v>
      </c>
      <c r="G107">
        <v>0</v>
      </c>
      <c r="H107" t="s">
        <v>119</v>
      </c>
      <c r="I107">
        <v>1</v>
      </c>
      <c r="J107">
        <v>14</v>
      </c>
      <c r="K107" t="s">
        <v>22</v>
      </c>
      <c r="L107" t="s">
        <v>29</v>
      </c>
      <c r="M107" t="s">
        <v>129</v>
      </c>
      <c r="N107">
        <v>40</v>
      </c>
      <c r="O107">
        <v>160.5</v>
      </c>
      <c r="Q107">
        <v>89.96</v>
      </c>
      <c r="R107">
        <f t="shared" si="0"/>
        <v>1.7841262783459317</v>
      </c>
    </row>
    <row r="108" spans="1:18" x14ac:dyDescent="0.25">
      <c r="A108" t="s">
        <v>117</v>
      </c>
      <c r="B108">
        <v>10</v>
      </c>
      <c r="C108">
        <v>1</v>
      </c>
      <c r="D108" t="s">
        <v>118</v>
      </c>
      <c r="E108">
        <v>1</v>
      </c>
      <c r="F108">
        <v>2</v>
      </c>
      <c r="G108">
        <v>0</v>
      </c>
      <c r="H108" t="s">
        <v>119</v>
      </c>
      <c r="I108">
        <v>1</v>
      </c>
      <c r="J108">
        <v>14</v>
      </c>
      <c r="K108" t="s">
        <v>25</v>
      </c>
      <c r="L108" t="s">
        <v>29</v>
      </c>
      <c r="M108" t="s">
        <v>130</v>
      </c>
      <c r="N108">
        <v>41</v>
      </c>
      <c r="O108">
        <v>141</v>
      </c>
      <c r="Q108">
        <v>89.96</v>
      </c>
      <c r="R108">
        <f t="shared" si="0"/>
        <v>1.5673632725655848</v>
      </c>
    </row>
    <row r="109" spans="1:18" x14ac:dyDescent="0.25">
      <c r="A109" t="s">
        <v>117</v>
      </c>
      <c r="B109">
        <v>11</v>
      </c>
      <c r="C109">
        <v>1</v>
      </c>
      <c r="D109" t="s">
        <v>118</v>
      </c>
      <c r="E109">
        <v>1</v>
      </c>
      <c r="F109">
        <v>2</v>
      </c>
      <c r="G109">
        <v>0</v>
      </c>
      <c r="H109" t="s">
        <v>119</v>
      </c>
      <c r="I109">
        <v>1</v>
      </c>
      <c r="J109">
        <v>14</v>
      </c>
      <c r="K109" t="s">
        <v>27</v>
      </c>
      <c r="L109" t="s">
        <v>29</v>
      </c>
      <c r="M109" t="s">
        <v>131</v>
      </c>
      <c r="N109">
        <v>42</v>
      </c>
      <c r="O109">
        <v>129</v>
      </c>
      <c r="Q109">
        <v>89.96</v>
      </c>
      <c r="R109">
        <f t="shared" si="0"/>
        <v>1.433970653623833</v>
      </c>
    </row>
    <row r="110" spans="1:18" x14ac:dyDescent="0.25">
      <c r="A110" t="s">
        <v>132</v>
      </c>
      <c r="B110">
        <v>6</v>
      </c>
      <c r="C110">
        <v>1</v>
      </c>
      <c r="D110" t="s">
        <v>133</v>
      </c>
      <c r="E110">
        <v>1</v>
      </c>
      <c r="F110">
        <v>2</v>
      </c>
      <c r="G110">
        <v>1</v>
      </c>
      <c r="H110" t="s">
        <v>134</v>
      </c>
      <c r="I110">
        <v>1</v>
      </c>
      <c r="J110">
        <v>15</v>
      </c>
      <c r="K110" t="s">
        <v>22</v>
      </c>
      <c r="L110" t="s">
        <v>29</v>
      </c>
      <c r="M110" t="s">
        <v>141</v>
      </c>
      <c r="N110">
        <v>43</v>
      </c>
      <c r="O110">
        <v>165.5</v>
      </c>
      <c r="Q110">
        <v>89.96</v>
      </c>
      <c r="R110">
        <f t="shared" si="0"/>
        <v>1.8397065362383282</v>
      </c>
    </row>
    <row r="111" spans="1:18" x14ac:dyDescent="0.25">
      <c r="A111" t="s">
        <v>132</v>
      </c>
      <c r="B111">
        <v>7</v>
      </c>
      <c r="C111">
        <v>1</v>
      </c>
      <c r="D111" t="s">
        <v>133</v>
      </c>
      <c r="E111">
        <v>1</v>
      </c>
      <c r="F111">
        <v>2</v>
      </c>
      <c r="G111">
        <v>1</v>
      </c>
      <c r="H111" t="s">
        <v>134</v>
      </c>
      <c r="I111">
        <v>1</v>
      </c>
      <c r="J111">
        <v>15</v>
      </c>
      <c r="K111" t="s">
        <v>25</v>
      </c>
      <c r="L111" t="s">
        <v>29</v>
      </c>
      <c r="M111" t="s">
        <v>142</v>
      </c>
      <c r="N111">
        <v>44</v>
      </c>
      <c r="O111">
        <v>160</v>
      </c>
      <c r="Q111">
        <v>89.96</v>
      </c>
      <c r="R111">
        <f t="shared" si="0"/>
        <v>1.7785682525566919</v>
      </c>
    </row>
    <row r="112" spans="1:18" x14ac:dyDescent="0.25">
      <c r="A112" t="s">
        <v>132</v>
      </c>
      <c r="B112">
        <v>8</v>
      </c>
      <c r="C112">
        <v>1</v>
      </c>
      <c r="D112" t="s">
        <v>133</v>
      </c>
      <c r="E112">
        <v>1</v>
      </c>
      <c r="F112">
        <v>2</v>
      </c>
      <c r="G112">
        <v>1</v>
      </c>
      <c r="H112" t="s">
        <v>134</v>
      </c>
      <c r="I112">
        <v>1</v>
      </c>
      <c r="J112">
        <v>15</v>
      </c>
      <c r="K112" t="s">
        <v>27</v>
      </c>
      <c r="L112" t="s">
        <v>29</v>
      </c>
      <c r="M112" t="s">
        <v>143</v>
      </c>
      <c r="N112">
        <v>45</v>
      </c>
      <c r="O112">
        <v>152.5</v>
      </c>
      <c r="Q112">
        <v>89.96</v>
      </c>
      <c r="R112">
        <f t="shared" si="0"/>
        <v>1.6951978657180971</v>
      </c>
    </row>
    <row r="113" spans="1:18" x14ac:dyDescent="0.25">
      <c r="A113" t="s">
        <v>132</v>
      </c>
      <c r="B113">
        <v>9</v>
      </c>
      <c r="C113">
        <v>1</v>
      </c>
      <c r="D113" t="s">
        <v>133</v>
      </c>
      <c r="E113">
        <v>1</v>
      </c>
      <c r="F113">
        <v>2</v>
      </c>
      <c r="G113">
        <v>0</v>
      </c>
      <c r="H113" t="s">
        <v>134</v>
      </c>
      <c r="I113">
        <v>1</v>
      </c>
      <c r="J113">
        <v>16</v>
      </c>
      <c r="K113" t="s">
        <v>22</v>
      </c>
      <c r="L113" t="s">
        <v>29</v>
      </c>
      <c r="M113" t="s">
        <v>144</v>
      </c>
      <c r="N113">
        <v>46</v>
      </c>
      <c r="O113">
        <v>171.5</v>
      </c>
      <c r="Q113">
        <v>89.96</v>
      </c>
      <c r="R113">
        <f t="shared" si="0"/>
        <v>1.9064028457092042</v>
      </c>
    </row>
    <row r="114" spans="1:18" x14ac:dyDescent="0.25">
      <c r="A114" t="s">
        <v>132</v>
      </c>
      <c r="B114">
        <v>10</v>
      </c>
      <c r="C114">
        <v>1</v>
      </c>
      <c r="D114" t="s">
        <v>133</v>
      </c>
      <c r="E114">
        <v>1</v>
      </c>
      <c r="F114">
        <v>2</v>
      </c>
      <c r="G114">
        <v>0</v>
      </c>
      <c r="H114" t="s">
        <v>134</v>
      </c>
      <c r="I114">
        <v>1</v>
      </c>
      <c r="J114">
        <v>16</v>
      </c>
      <c r="K114" t="s">
        <v>25</v>
      </c>
      <c r="L114" t="s">
        <v>29</v>
      </c>
      <c r="M114" t="s">
        <v>145</v>
      </c>
      <c r="N114">
        <v>47</v>
      </c>
      <c r="O114">
        <v>160.5</v>
      </c>
      <c r="Q114">
        <v>89.96</v>
      </c>
      <c r="R114">
        <f t="shared" si="0"/>
        <v>1.7841262783459317</v>
      </c>
    </row>
    <row r="115" spans="1:18" x14ac:dyDescent="0.25">
      <c r="A115" t="s">
        <v>132</v>
      </c>
      <c r="B115">
        <v>11</v>
      </c>
      <c r="C115">
        <v>1</v>
      </c>
      <c r="D115" t="s">
        <v>133</v>
      </c>
      <c r="E115">
        <v>1</v>
      </c>
      <c r="F115">
        <v>2</v>
      </c>
      <c r="G115">
        <v>0</v>
      </c>
      <c r="H115" t="s">
        <v>134</v>
      </c>
      <c r="I115">
        <v>1</v>
      </c>
      <c r="J115">
        <v>16</v>
      </c>
      <c r="K115" t="s">
        <v>27</v>
      </c>
      <c r="L115" t="s">
        <v>29</v>
      </c>
      <c r="M115" t="s">
        <v>146</v>
      </c>
      <c r="N115">
        <v>48</v>
      </c>
      <c r="O115">
        <v>160</v>
      </c>
      <c r="Q115">
        <v>89.96</v>
      </c>
      <c r="R115">
        <f t="shared" si="0"/>
        <v>1.7785682525566919</v>
      </c>
    </row>
    <row r="116" spans="1:18" x14ac:dyDescent="0.25">
      <c r="A116" t="s">
        <v>147</v>
      </c>
      <c r="B116">
        <v>6</v>
      </c>
      <c r="C116">
        <v>1</v>
      </c>
      <c r="D116" t="s">
        <v>148</v>
      </c>
      <c r="E116">
        <v>1</v>
      </c>
      <c r="F116">
        <v>2</v>
      </c>
      <c r="G116">
        <v>0</v>
      </c>
      <c r="H116" t="s">
        <v>149</v>
      </c>
      <c r="I116">
        <v>1</v>
      </c>
      <c r="J116">
        <v>17</v>
      </c>
      <c r="K116" t="s">
        <v>22</v>
      </c>
      <c r="L116" t="s">
        <v>29</v>
      </c>
      <c r="M116" t="s">
        <v>156</v>
      </c>
      <c r="N116">
        <v>49</v>
      </c>
      <c r="O116">
        <v>153.5</v>
      </c>
      <c r="Q116">
        <v>89.96</v>
      </c>
      <c r="R116">
        <f t="shared" si="0"/>
        <v>1.7063139172965764</v>
      </c>
    </row>
    <row r="117" spans="1:18" x14ac:dyDescent="0.25">
      <c r="A117" t="s">
        <v>147</v>
      </c>
      <c r="B117">
        <v>7</v>
      </c>
      <c r="C117">
        <v>1</v>
      </c>
      <c r="D117" t="s">
        <v>148</v>
      </c>
      <c r="E117">
        <v>1</v>
      </c>
      <c r="F117">
        <v>2</v>
      </c>
      <c r="G117">
        <v>0</v>
      </c>
      <c r="H117" t="s">
        <v>149</v>
      </c>
      <c r="I117">
        <v>1</v>
      </c>
      <c r="J117">
        <v>17</v>
      </c>
      <c r="K117" t="s">
        <v>25</v>
      </c>
      <c r="L117" t="s">
        <v>29</v>
      </c>
      <c r="M117" t="s">
        <v>157</v>
      </c>
      <c r="N117">
        <v>50</v>
      </c>
      <c r="O117">
        <v>163.5</v>
      </c>
      <c r="Q117">
        <v>89.96</v>
      </c>
      <c r="R117">
        <f t="shared" si="0"/>
        <v>1.8174744330813697</v>
      </c>
    </row>
    <row r="118" spans="1:18" x14ac:dyDescent="0.25">
      <c r="A118" t="s">
        <v>147</v>
      </c>
      <c r="B118">
        <v>8</v>
      </c>
      <c r="C118">
        <v>1</v>
      </c>
      <c r="D118" t="s">
        <v>148</v>
      </c>
      <c r="E118">
        <v>1</v>
      </c>
      <c r="F118">
        <v>2</v>
      </c>
      <c r="G118">
        <v>0</v>
      </c>
      <c r="H118" t="s">
        <v>149</v>
      </c>
      <c r="I118">
        <v>1</v>
      </c>
      <c r="J118">
        <v>17</v>
      </c>
      <c r="K118" t="s">
        <v>27</v>
      </c>
      <c r="L118" t="s">
        <v>29</v>
      </c>
      <c r="M118" t="s">
        <v>158</v>
      </c>
      <c r="N118">
        <v>51</v>
      </c>
      <c r="O118">
        <v>155.5</v>
      </c>
      <c r="Q118">
        <v>89.96</v>
      </c>
      <c r="R118">
        <f t="shared" si="0"/>
        <v>1.728546020453535</v>
      </c>
    </row>
    <row r="119" spans="1:18" x14ac:dyDescent="0.25">
      <c r="A119" t="s">
        <v>147</v>
      </c>
      <c r="B119">
        <v>9</v>
      </c>
      <c r="C119">
        <v>1</v>
      </c>
      <c r="D119" t="s">
        <v>148</v>
      </c>
      <c r="E119">
        <v>1</v>
      </c>
      <c r="F119">
        <v>2</v>
      </c>
      <c r="G119">
        <v>0</v>
      </c>
      <c r="H119" t="s">
        <v>149</v>
      </c>
      <c r="I119">
        <v>1</v>
      </c>
      <c r="J119">
        <v>18</v>
      </c>
      <c r="K119" t="s">
        <v>22</v>
      </c>
      <c r="L119" t="s">
        <v>29</v>
      </c>
      <c r="M119" t="s">
        <v>159</v>
      </c>
      <c r="N119">
        <v>52</v>
      </c>
      <c r="O119">
        <v>141.5</v>
      </c>
      <c r="Q119">
        <v>89.96</v>
      </c>
      <c r="R119">
        <f t="shared" si="0"/>
        <v>1.5729212983548244</v>
      </c>
    </row>
    <row r="120" spans="1:18" x14ac:dyDescent="0.25">
      <c r="A120" t="s">
        <v>147</v>
      </c>
      <c r="B120">
        <v>10</v>
      </c>
      <c r="C120">
        <v>1</v>
      </c>
      <c r="D120" t="s">
        <v>148</v>
      </c>
      <c r="E120">
        <v>1</v>
      </c>
      <c r="F120">
        <v>2</v>
      </c>
      <c r="G120">
        <v>0</v>
      </c>
      <c r="H120" t="s">
        <v>149</v>
      </c>
      <c r="I120">
        <v>1</v>
      </c>
      <c r="J120">
        <v>18</v>
      </c>
      <c r="K120" t="s">
        <v>25</v>
      </c>
      <c r="L120" t="s">
        <v>29</v>
      </c>
      <c r="M120" t="s">
        <v>160</v>
      </c>
      <c r="N120">
        <v>53</v>
      </c>
      <c r="O120">
        <v>118.5</v>
      </c>
      <c r="Q120">
        <v>89.96</v>
      </c>
      <c r="R120">
        <f t="shared" si="0"/>
        <v>1.3172521120498</v>
      </c>
    </row>
    <row r="121" spans="1:18" x14ac:dyDescent="0.25">
      <c r="A121" t="s">
        <v>147</v>
      </c>
      <c r="B121">
        <v>11</v>
      </c>
      <c r="C121">
        <v>1</v>
      </c>
      <c r="D121" t="s">
        <v>148</v>
      </c>
      <c r="E121">
        <v>1</v>
      </c>
      <c r="F121">
        <v>2</v>
      </c>
      <c r="G121">
        <v>0</v>
      </c>
      <c r="H121" t="s">
        <v>149</v>
      </c>
      <c r="I121">
        <v>1</v>
      </c>
      <c r="J121">
        <v>18</v>
      </c>
      <c r="K121" t="s">
        <v>27</v>
      </c>
      <c r="L121" t="s">
        <v>29</v>
      </c>
      <c r="M121" t="s">
        <v>161</v>
      </c>
      <c r="N121">
        <v>54</v>
      </c>
      <c r="O121">
        <v>145</v>
      </c>
      <c r="Q121">
        <v>89.96</v>
      </c>
      <c r="R121">
        <f t="shared" si="0"/>
        <v>1.6118274788795022</v>
      </c>
    </row>
    <row r="122" spans="1:18" x14ac:dyDescent="0.25">
      <c r="A122" t="s">
        <v>162</v>
      </c>
      <c r="B122">
        <v>3</v>
      </c>
      <c r="C122">
        <v>1</v>
      </c>
      <c r="D122" t="s">
        <v>163</v>
      </c>
      <c r="E122">
        <v>1</v>
      </c>
      <c r="F122">
        <v>2</v>
      </c>
      <c r="G122">
        <v>0</v>
      </c>
      <c r="H122" t="s">
        <v>164</v>
      </c>
      <c r="I122">
        <v>1</v>
      </c>
      <c r="J122">
        <v>19</v>
      </c>
      <c r="K122" t="s">
        <v>22</v>
      </c>
      <c r="L122" t="s">
        <v>29</v>
      </c>
      <c r="M122" t="s">
        <v>168</v>
      </c>
      <c r="N122">
        <v>55</v>
      </c>
      <c r="O122">
        <v>161.5</v>
      </c>
      <c r="Q122">
        <v>89.96</v>
      </c>
      <c r="R122">
        <f t="shared" si="0"/>
        <v>1.7952423299244109</v>
      </c>
    </row>
    <row r="123" spans="1:18" x14ac:dyDescent="0.25">
      <c r="A123" t="s">
        <v>162</v>
      </c>
      <c r="B123">
        <v>4</v>
      </c>
      <c r="C123">
        <v>1</v>
      </c>
      <c r="D123" t="s">
        <v>163</v>
      </c>
      <c r="E123">
        <v>1</v>
      </c>
      <c r="F123">
        <v>2</v>
      </c>
      <c r="G123">
        <v>0</v>
      </c>
      <c r="H123" t="s">
        <v>164</v>
      </c>
      <c r="I123">
        <v>1</v>
      </c>
      <c r="J123">
        <v>19</v>
      </c>
      <c r="K123" t="s">
        <v>25</v>
      </c>
      <c r="L123" t="s">
        <v>29</v>
      </c>
      <c r="M123" t="s">
        <v>169</v>
      </c>
      <c r="N123">
        <v>56</v>
      </c>
      <c r="O123">
        <v>173</v>
      </c>
      <c r="Q123">
        <v>89.96</v>
      </c>
      <c r="R123">
        <f t="shared" si="0"/>
        <v>1.9230769230769231</v>
      </c>
    </row>
    <row r="124" spans="1:18" x14ac:dyDescent="0.25">
      <c r="A124" t="s">
        <v>162</v>
      </c>
      <c r="B124">
        <v>5</v>
      </c>
      <c r="C124">
        <v>1</v>
      </c>
      <c r="D124" t="s">
        <v>163</v>
      </c>
      <c r="E124">
        <v>1</v>
      </c>
      <c r="F124">
        <v>2</v>
      </c>
      <c r="G124">
        <v>0</v>
      </c>
      <c r="H124" t="s">
        <v>164</v>
      </c>
      <c r="I124">
        <v>1</v>
      </c>
      <c r="J124">
        <v>19</v>
      </c>
      <c r="K124" t="s">
        <v>27</v>
      </c>
      <c r="L124" t="s">
        <v>29</v>
      </c>
      <c r="M124" t="s">
        <v>170</v>
      </c>
      <c r="N124">
        <v>57</v>
      </c>
      <c r="O124">
        <v>170</v>
      </c>
      <c r="Q124">
        <v>89.96</v>
      </c>
      <c r="R124">
        <f t="shared" si="0"/>
        <v>1.8897287683414852</v>
      </c>
    </row>
    <row r="125" spans="1:18" x14ac:dyDescent="0.25">
      <c r="A125" t="s">
        <v>171</v>
      </c>
      <c r="B125">
        <v>6</v>
      </c>
      <c r="C125">
        <v>1</v>
      </c>
      <c r="D125" t="s">
        <v>172</v>
      </c>
      <c r="E125">
        <v>1</v>
      </c>
      <c r="F125">
        <v>2</v>
      </c>
      <c r="G125">
        <v>1</v>
      </c>
      <c r="H125" t="s">
        <v>173</v>
      </c>
      <c r="I125">
        <v>1</v>
      </c>
      <c r="J125">
        <v>20</v>
      </c>
      <c r="K125" t="s">
        <v>22</v>
      </c>
      <c r="L125" t="s">
        <v>29</v>
      </c>
      <c r="M125" t="s">
        <v>180</v>
      </c>
      <c r="N125">
        <v>58</v>
      </c>
      <c r="O125">
        <v>159</v>
      </c>
      <c r="Q125">
        <v>89.96</v>
      </c>
      <c r="R125">
        <f t="shared" si="0"/>
        <v>1.7674522009782128</v>
      </c>
    </row>
    <row r="126" spans="1:18" x14ac:dyDescent="0.25">
      <c r="A126" t="s">
        <v>171</v>
      </c>
      <c r="B126">
        <v>7</v>
      </c>
      <c r="C126">
        <v>1</v>
      </c>
      <c r="D126" t="s">
        <v>172</v>
      </c>
      <c r="E126">
        <v>1</v>
      </c>
      <c r="F126">
        <v>2</v>
      </c>
      <c r="G126">
        <v>1</v>
      </c>
      <c r="H126" t="s">
        <v>173</v>
      </c>
      <c r="I126">
        <v>1</v>
      </c>
      <c r="J126">
        <v>20</v>
      </c>
      <c r="K126" t="s">
        <v>25</v>
      </c>
      <c r="L126" t="s">
        <v>29</v>
      </c>
      <c r="M126" t="s">
        <v>181</v>
      </c>
      <c r="N126">
        <v>59</v>
      </c>
      <c r="O126">
        <v>167</v>
      </c>
      <c r="Q126">
        <v>89.96</v>
      </c>
      <c r="R126">
        <f t="shared" si="0"/>
        <v>1.8563806136060472</v>
      </c>
    </row>
    <row r="127" spans="1:18" x14ac:dyDescent="0.25">
      <c r="A127" t="s">
        <v>171</v>
      </c>
      <c r="B127">
        <v>8</v>
      </c>
      <c r="C127">
        <v>1</v>
      </c>
      <c r="D127" t="s">
        <v>172</v>
      </c>
      <c r="E127">
        <v>1</v>
      </c>
      <c r="F127">
        <v>2</v>
      </c>
      <c r="G127">
        <v>1</v>
      </c>
      <c r="H127" t="s">
        <v>173</v>
      </c>
      <c r="I127">
        <v>1</v>
      </c>
      <c r="J127">
        <v>20</v>
      </c>
      <c r="K127" t="s">
        <v>27</v>
      </c>
      <c r="L127" t="s">
        <v>29</v>
      </c>
      <c r="M127" t="s">
        <v>182</v>
      </c>
      <c r="N127">
        <v>60</v>
      </c>
      <c r="O127">
        <v>167.5</v>
      </c>
      <c r="Q127">
        <v>89.96</v>
      </c>
      <c r="R127">
        <f t="shared" si="0"/>
        <v>1.861938639395287</v>
      </c>
    </row>
    <row r="128" spans="1:18" x14ac:dyDescent="0.25">
      <c r="A128" t="s">
        <v>171</v>
      </c>
      <c r="B128">
        <v>9</v>
      </c>
      <c r="C128">
        <v>1</v>
      </c>
      <c r="D128" t="s">
        <v>172</v>
      </c>
      <c r="E128">
        <v>1</v>
      </c>
      <c r="F128">
        <v>2</v>
      </c>
      <c r="G128">
        <v>0</v>
      </c>
      <c r="H128" t="s">
        <v>173</v>
      </c>
      <c r="I128">
        <v>1</v>
      </c>
      <c r="J128">
        <v>21</v>
      </c>
      <c r="K128" t="s">
        <v>22</v>
      </c>
      <c r="L128" t="s">
        <v>29</v>
      </c>
      <c r="M128" t="s">
        <v>183</v>
      </c>
      <c r="N128">
        <v>61</v>
      </c>
      <c r="O128">
        <v>177.5</v>
      </c>
      <c r="Q128">
        <v>89.96</v>
      </c>
      <c r="R128">
        <f t="shared" si="0"/>
        <v>1.9730991551800803</v>
      </c>
    </row>
    <row r="129" spans="1:18" x14ac:dyDescent="0.25">
      <c r="A129" t="s">
        <v>171</v>
      </c>
      <c r="B129">
        <v>10</v>
      </c>
      <c r="C129">
        <v>1</v>
      </c>
      <c r="D129" t="s">
        <v>172</v>
      </c>
      <c r="E129">
        <v>1</v>
      </c>
      <c r="F129">
        <v>2</v>
      </c>
      <c r="G129">
        <v>0</v>
      </c>
      <c r="H129" t="s">
        <v>173</v>
      </c>
      <c r="I129">
        <v>1</v>
      </c>
      <c r="J129">
        <v>21</v>
      </c>
      <c r="K129" t="s">
        <v>25</v>
      </c>
      <c r="L129" t="s">
        <v>29</v>
      </c>
      <c r="M129" t="s">
        <v>184</v>
      </c>
      <c r="N129">
        <v>62</v>
      </c>
      <c r="O129">
        <v>156.5</v>
      </c>
      <c r="Q129">
        <v>89.96</v>
      </c>
      <c r="R129">
        <f t="shared" si="0"/>
        <v>1.7396620720320144</v>
      </c>
    </row>
    <row r="130" spans="1:18" x14ac:dyDescent="0.25">
      <c r="A130" t="s">
        <v>171</v>
      </c>
      <c r="B130">
        <v>11</v>
      </c>
      <c r="C130">
        <v>1</v>
      </c>
      <c r="D130" t="s">
        <v>172</v>
      </c>
      <c r="E130">
        <v>1</v>
      </c>
      <c r="F130">
        <v>2</v>
      </c>
      <c r="G130">
        <v>0</v>
      </c>
      <c r="H130" t="s">
        <v>173</v>
      </c>
      <c r="I130">
        <v>1</v>
      </c>
      <c r="J130">
        <v>21</v>
      </c>
      <c r="K130" t="s">
        <v>27</v>
      </c>
      <c r="L130" t="s">
        <v>29</v>
      </c>
      <c r="M130" t="s">
        <v>185</v>
      </c>
      <c r="N130">
        <v>63</v>
      </c>
      <c r="O130">
        <v>164</v>
      </c>
      <c r="Q130">
        <v>89.96</v>
      </c>
      <c r="R130">
        <f t="shared" si="0"/>
        <v>1.8230324588706093</v>
      </c>
    </row>
    <row r="131" spans="1:18" x14ac:dyDescent="0.25">
      <c r="A131" t="s">
        <v>186</v>
      </c>
      <c r="B131">
        <v>3</v>
      </c>
      <c r="C131">
        <v>1</v>
      </c>
      <c r="D131" t="s">
        <v>187</v>
      </c>
      <c r="E131">
        <v>1</v>
      </c>
      <c r="F131">
        <v>2</v>
      </c>
      <c r="G131">
        <v>1</v>
      </c>
      <c r="H131" t="s">
        <v>188</v>
      </c>
      <c r="I131">
        <v>1</v>
      </c>
      <c r="J131">
        <v>22</v>
      </c>
      <c r="K131" t="s">
        <v>22</v>
      </c>
      <c r="L131" t="s">
        <v>29</v>
      </c>
      <c r="M131" t="s">
        <v>192</v>
      </c>
      <c r="N131">
        <v>64</v>
      </c>
      <c r="O131">
        <v>168</v>
      </c>
      <c r="Q131">
        <v>89.96</v>
      </c>
      <c r="R131">
        <f t="shared" si="0"/>
        <v>1.8674966651845266</v>
      </c>
    </row>
    <row r="132" spans="1:18" x14ac:dyDescent="0.25">
      <c r="A132" t="s">
        <v>186</v>
      </c>
      <c r="B132">
        <v>4</v>
      </c>
      <c r="C132">
        <v>1</v>
      </c>
      <c r="D132" t="s">
        <v>187</v>
      </c>
      <c r="E132">
        <v>1</v>
      </c>
      <c r="F132">
        <v>2</v>
      </c>
      <c r="G132">
        <v>1</v>
      </c>
      <c r="H132" t="s">
        <v>188</v>
      </c>
      <c r="I132">
        <v>1</v>
      </c>
      <c r="J132">
        <v>22</v>
      </c>
      <c r="K132" t="s">
        <v>25</v>
      </c>
      <c r="L132" t="s">
        <v>29</v>
      </c>
      <c r="M132" t="s">
        <v>193</v>
      </c>
      <c r="N132">
        <v>65</v>
      </c>
      <c r="O132">
        <v>174</v>
      </c>
      <c r="Q132">
        <v>89.96</v>
      </c>
      <c r="R132">
        <f t="shared" si="0"/>
        <v>1.9341929746554025</v>
      </c>
    </row>
    <row r="133" spans="1:18" x14ac:dyDescent="0.25">
      <c r="A133" t="s">
        <v>186</v>
      </c>
      <c r="B133">
        <v>5</v>
      </c>
      <c r="C133">
        <v>1</v>
      </c>
      <c r="D133" t="s">
        <v>187</v>
      </c>
      <c r="E133">
        <v>1</v>
      </c>
      <c r="F133">
        <v>2</v>
      </c>
      <c r="G133">
        <v>1</v>
      </c>
      <c r="H133" t="s">
        <v>188</v>
      </c>
      <c r="I133">
        <v>1</v>
      </c>
      <c r="J133">
        <v>22</v>
      </c>
      <c r="K133" t="s">
        <v>27</v>
      </c>
      <c r="L133" t="s">
        <v>29</v>
      </c>
      <c r="M133" t="s">
        <v>194</v>
      </c>
      <c r="N133">
        <v>66</v>
      </c>
      <c r="O133">
        <v>155.5</v>
      </c>
      <c r="Q133">
        <v>89.96</v>
      </c>
      <c r="R133">
        <f t="shared" ref="R133" si="1">O133/Q133</f>
        <v>1.728546020453535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Carbono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Santos</cp:lastModifiedBy>
  <dcterms:created xsi:type="dcterms:W3CDTF">2025-12-10T11:48:53Z</dcterms:created>
  <dcterms:modified xsi:type="dcterms:W3CDTF">2026-03-06T15:16:02Z</dcterms:modified>
</cp:coreProperties>
</file>